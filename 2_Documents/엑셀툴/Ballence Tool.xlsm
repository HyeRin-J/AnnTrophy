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GIT58\Desktop\미니프로젝트\11_23\"/>
    </mc:Choice>
  </mc:AlternateContent>
  <xr:revisionPtr revIDLastSave="0" documentId="8_{0F9727F2-29C1-4D9A-A48D-5E9B675BBBA9}" xr6:coauthVersionLast="36" xr6:coauthVersionMax="36" xr10:uidLastSave="{00000000-0000-0000-0000-000000000000}"/>
  <bookViews>
    <workbookView xWindow="-120" yWindow="-120" windowWidth="14490" windowHeight="9090" xr2:uid="{FDF557A2-9E64-4886-BC23-7287E77D7C05}"/>
  </bookViews>
  <sheets>
    <sheet name="플레이어 능력치" sheetId="1" r:id="rId1"/>
    <sheet name="몬스터 능력치" sheetId="10" r:id="rId2"/>
    <sheet name="맵 속성" sheetId="11" r:id="rId3"/>
    <sheet name="이동 윷 확률" sheetId="8" r:id="rId4"/>
    <sheet name="전투 윷확률" sheetId="7" r:id="rId5"/>
    <sheet name="타일" sheetId="9" r:id="rId6"/>
    <sheet name="MapEdit" sheetId="3" r:id="rId7"/>
    <sheet name="Sheet2" sheetId="4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8" l="1"/>
  <c r="F4" i="8"/>
  <c r="E4" i="8"/>
  <c r="D4" i="8"/>
  <c r="C4" i="8"/>
  <c r="B4" i="8"/>
  <c r="A4" i="8"/>
  <c r="D23" i="1"/>
  <c r="E38" i="1"/>
  <c r="E37" i="1"/>
  <c r="E36" i="1"/>
  <c r="E34" i="1"/>
  <c r="E35" i="1"/>
  <c r="E33" i="1"/>
  <c r="D38" i="1"/>
  <c r="D37" i="1"/>
  <c r="D36" i="1"/>
  <c r="D35" i="1"/>
  <c r="D34" i="1"/>
  <c r="D33" i="1"/>
  <c r="D32" i="1"/>
  <c r="E32" i="1"/>
  <c r="E29" i="1"/>
  <c r="E28" i="1"/>
  <c r="E27" i="1"/>
  <c r="E26" i="1"/>
  <c r="E25" i="1"/>
  <c r="E24" i="1"/>
  <c r="E23" i="1"/>
  <c r="D29" i="1"/>
  <c r="D28" i="1"/>
  <c r="D27" i="1"/>
  <c r="D25" i="1"/>
  <c r="D26" i="1"/>
  <c r="D24" i="1"/>
  <c r="P9" i="11" l="1"/>
  <c r="P8" i="11"/>
  <c r="P7" i="11"/>
  <c r="P6" i="11"/>
  <c r="P5" i="11"/>
  <c r="P4" i="11"/>
  <c r="P3" i="11"/>
  <c r="O1" i="11"/>
  <c r="Q6" i="3"/>
  <c r="Q7" i="3"/>
  <c r="Q8" i="3"/>
  <c r="Q9" i="3"/>
  <c r="Q10" i="3"/>
  <c r="Q4" i="3"/>
  <c r="Q5" i="3"/>
  <c r="O2" i="3"/>
  <c r="B19" i="1"/>
  <c r="I17" i="1"/>
  <c r="H17" i="1"/>
  <c r="G17" i="1"/>
  <c r="F17" i="1"/>
  <c r="E17" i="1"/>
  <c r="D17" i="1"/>
  <c r="C17" i="1"/>
  <c r="I14" i="1"/>
  <c r="H14" i="1"/>
  <c r="G14" i="1"/>
  <c r="F14" i="1"/>
  <c r="E14" i="1"/>
  <c r="D14" i="1"/>
  <c r="C14" i="1"/>
  <c r="I11" i="1" l="1"/>
  <c r="H11" i="1"/>
  <c r="G11" i="1"/>
  <c r="F11" i="1"/>
  <c r="E11" i="1"/>
  <c r="D11" i="1"/>
  <c r="C11" i="1"/>
  <c r="C8" i="1"/>
  <c r="I8" i="1"/>
  <c r="H8" i="1"/>
  <c r="G8" i="1"/>
  <c r="F8" i="1"/>
  <c r="E8" i="1"/>
  <c r="D8" i="1"/>
  <c r="L5" i="8"/>
  <c r="T3" i="8"/>
  <c r="U3" i="8"/>
  <c r="AI3" i="8" s="1"/>
  <c r="R3" i="8"/>
  <c r="AF3" i="8" s="1"/>
  <c r="Q3" i="8"/>
  <c r="AE3" i="8" s="1"/>
  <c r="P3" i="8"/>
  <c r="AD3" i="8" s="1"/>
  <c r="O3" i="8"/>
  <c r="N3" i="8"/>
  <c r="N4" i="8" s="1"/>
  <c r="M3" i="8"/>
  <c r="M4" i="8" s="1"/>
  <c r="L3" i="8"/>
  <c r="L4" i="8" s="1"/>
  <c r="K3" i="8"/>
  <c r="K4" i="8" s="1"/>
  <c r="J3" i="8"/>
  <c r="J4" i="8" s="1"/>
  <c r="I3" i="8"/>
  <c r="I4" i="8" s="1"/>
  <c r="H3" i="8"/>
  <c r="H4" i="8" s="1"/>
  <c r="L5" i="7"/>
  <c r="W4" i="7" s="1"/>
  <c r="H4" i="7"/>
  <c r="G4" i="7"/>
  <c r="F4" i="7"/>
  <c r="E4" i="7"/>
  <c r="T3" i="7" s="1"/>
  <c r="AH3" i="7" s="1"/>
  <c r="D4" i="7"/>
  <c r="C4" i="7"/>
  <c r="B4" i="7"/>
  <c r="A4" i="7"/>
  <c r="U3" i="7" s="1"/>
  <c r="AI3" i="7" s="1"/>
  <c r="AD3" i="7"/>
  <c r="S3" i="7"/>
  <c r="AG3" i="7" s="1"/>
  <c r="R3" i="7"/>
  <c r="P3" i="7"/>
  <c r="O3" i="7"/>
  <c r="N3" i="7"/>
  <c r="N4" i="7" s="1"/>
  <c r="AC3" i="7" s="1"/>
  <c r="M3" i="7"/>
  <c r="M4" i="7" s="1"/>
  <c r="L3" i="7"/>
  <c r="L4" i="7" s="1"/>
  <c r="K3" i="7"/>
  <c r="K4" i="7" s="1"/>
  <c r="Z3" i="7" s="1"/>
  <c r="J3" i="7"/>
  <c r="J4" i="7" s="1"/>
  <c r="I3" i="7"/>
  <c r="I4" i="7" s="1"/>
  <c r="H3" i="7"/>
  <c r="W3" i="8" l="1"/>
  <c r="AC3" i="8"/>
  <c r="W4" i="8"/>
  <c r="C9" i="1"/>
  <c r="AB3" i="8"/>
  <c r="AP3" i="8" s="1"/>
  <c r="AA3" i="8"/>
  <c r="AO3" i="8" s="1"/>
  <c r="Y3" i="8"/>
  <c r="AM3" i="8" s="1"/>
  <c r="S3" i="8"/>
  <c r="AG3" i="8" s="1"/>
  <c r="X3" i="8"/>
  <c r="AL3" i="8" s="1"/>
  <c r="Z3" i="8"/>
  <c r="V3" i="8"/>
  <c r="AJ3" i="8" s="1"/>
  <c r="W3" i="7"/>
  <c r="X3" i="7"/>
  <c r="AL3" i="7" s="1"/>
  <c r="Y3" i="7"/>
  <c r="AM3" i="7" s="1"/>
  <c r="AB3" i="7"/>
  <c r="AP3" i="7" s="1"/>
  <c r="AA3" i="7"/>
  <c r="AQ3" i="7"/>
  <c r="Q3" i="7"/>
  <c r="AE3" i="7" s="1"/>
  <c r="V3" i="7"/>
  <c r="AJ3" i="7" s="1"/>
  <c r="AN3" i="8" l="1"/>
  <c r="AQ3" i="8"/>
  <c r="AK3" i="8"/>
  <c r="AH3" i="8"/>
  <c r="AN3" i="7"/>
  <c r="AO3" i="7"/>
  <c r="AK3" i="7"/>
  <c r="AF3" i="7"/>
  <c r="AB3" i="1" l="1"/>
  <c r="AA3" i="1"/>
  <c r="Z3" i="1"/>
  <c r="P3" i="1" l="1"/>
  <c r="O3" i="1"/>
  <c r="N3" i="1"/>
  <c r="G3" i="1"/>
  <c r="F3" i="1"/>
  <c r="E3" i="1"/>
</calcChain>
</file>

<file path=xl/sharedStrings.xml><?xml version="1.0" encoding="utf-8"?>
<sst xmlns="http://schemas.openxmlformats.org/spreadsheetml/2006/main" count="279" uniqueCount="106">
  <si>
    <t xml:space="preserve">A플레이어 능력치 </t>
    <phoneticPr fontId="1" type="noConversion"/>
  </si>
  <si>
    <t>공격력</t>
    <phoneticPr fontId="1" type="noConversion"/>
  </si>
  <si>
    <t>방어력</t>
    <phoneticPr fontId="1" type="noConversion"/>
  </si>
  <si>
    <t>체력</t>
    <phoneticPr fontId="1" type="noConversion"/>
  </si>
  <si>
    <t>A플레이어 현재 상태</t>
    <phoneticPr fontId="1" type="noConversion"/>
  </si>
  <si>
    <t>남은 체력</t>
    <phoneticPr fontId="1" type="noConversion"/>
  </si>
  <si>
    <t>남은 능력치</t>
    <phoneticPr fontId="1" type="noConversion"/>
  </si>
  <si>
    <t xml:space="preserve">B플레이어 능력치 </t>
    <phoneticPr fontId="1" type="noConversion"/>
  </si>
  <si>
    <t>B플레이어 현재 상태</t>
    <phoneticPr fontId="1" type="noConversion"/>
  </si>
  <si>
    <t>A플레이어 윷 결과</t>
    <phoneticPr fontId="1" type="noConversion"/>
  </si>
  <si>
    <t>B플레이여 윷 결과</t>
    <phoneticPr fontId="1" type="noConversion"/>
  </si>
  <si>
    <t>시작지점</t>
  </si>
  <si>
    <t>길</t>
  </si>
  <si>
    <t>마지막 좌표, x축, y축</t>
    <phoneticPr fontId="1" type="noConversion"/>
  </si>
  <si>
    <t>삽입할 기믹</t>
    <phoneticPr fontId="1" type="noConversion"/>
  </si>
  <si>
    <t>적 공격 타일</t>
    <phoneticPr fontId="1" type="noConversion"/>
  </si>
  <si>
    <t>길</t>
    <phoneticPr fontId="1" type="noConversion"/>
  </si>
  <si>
    <t>off</t>
    <phoneticPr fontId="1" type="noConversion"/>
  </si>
  <si>
    <t>도착지점</t>
    <phoneticPr fontId="1" type="noConversion"/>
  </si>
  <si>
    <t>on</t>
    <phoneticPr fontId="1" type="noConversion"/>
  </si>
  <si>
    <t>시작지점</t>
    <phoneticPr fontId="1" type="noConversion"/>
  </si>
  <si>
    <t>편집모드</t>
    <phoneticPr fontId="1" type="noConversion"/>
  </si>
  <si>
    <t>기믹 종류</t>
    <phoneticPr fontId="1" type="noConversion"/>
  </si>
  <si>
    <t>스위치</t>
    <phoneticPr fontId="1" type="noConversion"/>
  </si>
  <si>
    <t xml:space="preserve">몬스터 능력치 </t>
    <phoneticPr fontId="1" type="noConversion"/>
  </si>
  <si>
    <t>몬스터 현재 상태</t>
    <phoneticPr fontId="1" type="noConversion"/>
  </si>
  <si>
    <t>A플레이어</t>
    <phoneticPr fontId="1" type="noConversion"/>
  </si>
  <si>
    <t>B플레이어</t>
    <phoneticPr fontId="1" type="noConversion"/>
  </si>
  <si>
    <t>A플레이어 현재 위치</t>
    <phoneticPr fontId="1" type="noConversion"/>
  </si>
  <si>
    <t>B플레이어 현재 위치</t>
    <phoneticPr fontId="1" type="noConversion"/>
  </si>
  <si>
    <t>현재 행</t>
    <phoneticPr fontId="1" type="noConversion"/>
  </si>
  <si>
    <t>현재 열</t>
    <phoneticPr fontId="1" type="noConversion"/>
  </si>
  <si>
    <t>몬스터타일</t>
    <phoneticPr fontId="1" type="noConversion"/>
  </si>
  <si>
    <t>윷 던진 횟수</t>
    <phoneticPr fontId="1" type="noConversion"/>
  </si>
  <si>
    <t>90칸</t>
    <phoneticPr fontId="1" type="noConversion"/>
  </si>
  <si>
    <t>이동 윷 확률(추가 확률은 0.1)</t>
    <phoneticPr fontId="1" type="noConversion"/>
  </si>
  <si>
    <t>이동 윷 값 누적 합</t>
    <phoneticPr fontId="1" type="noConversion"/>
  </si>
  <si>
    <t>이동 윷 값 합</t>
    <phoneticPr fontId="1" type="noConversion"/>
  </si>
  <si>
    <t>도</t>
    <phoneticPr fontId="1" type="noConversion"/>
  </si>
  <si>
    <t>개</t>
    <phoneticPr fontId="1" type="noConversion"/>
  </si>
  <si>
    <t>걸</t>
    <phoneticPr fontId="1" type="noConversion"/>
  </si>
  <si>
    <t>윷</t>
    <phoneticPr fontId="1" type="noConversion"/>
  </si>
  <si>
    <t>모</t>
    <phoneticPr fontId="1" type="noConversion"/>
  </si>
  <si>
    <t>빽도</t>
    <phoneticPr fontId="1" type="noConversion"/>
  </si>
  <si>
    <t>낙</t>
    <phoneticPr fontId="1" type="noConversion"/>
  </si>
  <si>
    <t>추가 확률(도)</t>
    <phoneticPr fontId="1" type="noConversion"/>
  </si>
  <si>
    <t>추가 확률(개)</t>
    <phoneticPr fontId="1" type="noConversion"/>
  </si>
  <si>
    <t>추가 확률(걸)</t>
    <phoneticPr fontId="1" type="noConversion"/>
  </si>
  <si>
    <t>추가 확률(윷)</t>
    <phoneticPr fontId="1" type="noConversion"/>
  </si>
  <si>
    <t>추가 확률(모(모))</t>
    <phoneticPr fontId="1" type="noConversion"/>
  </si>
  <si>
    <t>추가 확률(모(빽도))</t>
    <phoneticPr fontId="1" type="noConversion"/>
  </si>
  <si>
    <t>추가 확률(빽도)</t>
    <phoneticPr fontId="1" type="noConversion"/>
  </si>
  <si>
    <t>확률 총 합</t>
    <phoneticPr fontId="1" type="noConversion"/>
  </si>
  <si>
    <t>도 확률 값</t>
    <phoneticPr fontId="1" type="noConversion"/>
  </si>
  <si>
    <t>개 확률 값</t>
    <phoneticPr fontId="1" type="noConversion"/>
  </si>
  <si>
    <t>걸 확률 값</t>
    <phoneticPr fontId="1" type="noConversion"/>
  </si>
  <si>
    <t>윷 확률 값</t>
    <phoneticPr fontId="1" type="noConversion"/>
  </si>
  <si>
    <t>모 확률 값</t>
    <phoneticPr fontId="1" type="noConversion"/>
  </si>
  <si>
    <t>빽도 확률 값</t>
    <phoneticPr fontId="1" type="noConversion"/>
  </si>
  <si>
    <t>낙 확률 값</t>
    <phoneticPr fontId="1" type="noConversion"/>
  </si>
  <si>
    <t>합산 확률 =</t>
    <phoneticPr fontId="1" type="noConversion"/>
  </si>
  <si>
    <t>합산 값 =</t>
    <phoneticPr fontId="1" type="noConversion"/>
  </si>
  <si>
    <t>확률</t>
    <phoneticPr fontId="1" type="noConversion"/>
  </si>
  <si>
    <t>누적 확률</t>
    <phoneticPr fontId="1" type="noConversion"/>
  </si>
  <si>
    <t>누적 확률 합계</t>
    <phoneticPr fontId="1" type="noConversion"/>
  </si>
  <si>
    <t>확률 합계</t>
    <phoneticPr fontId="1" type="noConversion"/>
  </si>
  <si>
    <t>윷 1회에 약 40초로 가정</t>
    <phoneticPr fontId="1" type="noConversion"/>
  </si>
  <si>
    <t>평균 플레이 타임</t>
    <phoneticPr fontId="1" type="noConversion"/>
  </si>
  <si>
    <t>아이템 타일</t>
    <phoneticPr fontId="1" type="noConversion"/>
  </si>
  <si>
    <t>버프타일</t>
    <phoneticPr fontId="1" type="noConversion"/>
  </si>
  <si>
    <t>디버프 타일</t>
    <phoneticPr fontId="1" type="noConversion"/>
  </si>
  <si>
    <t>이동타일</t>
    <phoneticPr fontId="1" type="noConversion"/>
  </si>
  <si>
    <t>해당 타일에 올라선 플레이어가 선 공.</t>
    <phoneticPr fontId="1" type="noConversion"/>
  </si>
  <si>
    <t>도깨비불</t>
    <phoneticPr fontId="1" type="noConversion"/>
  </si>
  <si>
    <t>도깨비</t>
    <phoneticPr fontId="1" type="noConversion"/>
  </si>
  <si>
    <t>적 플레이어의 방어력 + 3</t>
    <phoneticPr fontId="1" type="noConversion"/>
  </si>
  <si>
    <t>`</t>
    <phoneticPr fontId="1" type="noConversion"/>
  </si>
  <si>
    <t>도</t>
    <phoneticPr fontId="1" type="noConversion"/>
  </si>
  <si>
    <t>회복타일</t>
    <phoneticPr fontId="1" type="noConversion"/>
  </si>
  <si>
    <t>디버프타일</t>
    <phoneticPr fontId="1" type="noConversion"/>
  </si>
  <si>
    <t>이동</t>
    <phoneticPr fontId="1" type="noConversion"/>
  </si>
  <si>
    <t>마법</t>
    <phoneticPr fontId="1" type="noConversion"/>
  </si>
  <si>
    <t>전투</t>
    <phoneticPr fontId="1" type="noConversion"/>
  </si>
  <si>
    <t>7개</t>
    <phoneticPr fontId="1" type="noConversion"/>
  </si>
  <si>
    <t>몬스터</t>
    <phoneticPr fontId="1" type="noConversion"/>
  </si>
  <si>
    <t>회복</t>
    <phoneticPr fontId="1" type="noConversion"/>
  </si>
  <si>
    <t>버프</t>
    <phoneticPr fontId="1" type="noConversion"/>
  </si>
  <si>
    <t>디버프</t>
    <phoneticPr fontId="1" type="noConversion"/>
  </si>
  <si>
    <t>회복타일</t>
    <phoneticPr fontId="1" type="noConversion"/>
  </si>
  <si>
    <t>이동</t>
    <phoneticPr fontId="1" type="noConversion"/>
  </si>
  <si>
    <t>몬스터타일</t>
    <phoneticPr fontId="1" type="noConversion"/>
  </si>
  <si>
    <t>전투</t>
    <phoneticPr fontId="1" type="noConversion"/>
  </si>
  <si>
    <t>버프타일</t>
    <phoneticPr fontId="1" type="noConversion"/>
  </si>
  <si>
    <t>디버프타일</t>
    <phoneticPr fontId="1" type="noConversion"/>
  </si>
  <si>
    <t>마법</t>
    <phoneticPr fontId="1" type="noConversion"/>
  </si>
  <si>
    <t>A플레이어</t>
    <phoneticPr fontId="1" type="noConversion"/>
  </si>
  <si>
    <t>B플레이어</t>
    <phoneticPr fontId="1" type="noConversion"/>
  </si>
  <si>
    <t>나온 타일 횟수</t>
    <phoneticPr fontId="1" type="noConversion"/>
  </si>
  <si>
    <t>누적 타일 횟수</t>
    <phoneticPr fontId="1" type="noConversion"/>
  </si>
  <si>
    <t xml:space="preserve">누적 타일 % </t>
    <phoneticPr fontId="1" type="noConversion"/>
  </si>
  <si>
    <t>타일 %</t>
    <phoneticPr fontId="1" type="noConversion"/>
  </si>
  <si>
    <t>윷</t>
    <phoneticPr fontId="1" type="noConversion"/>
  </si>
  <si>
    <t>빽도</t>
    <phoneticPr fontId="1" type="noConversion"/>
  </si>
  <si>
    <t>도개걸</t>
    <phoneticPr fontId="1" type="noConversion"/>
  </si>
  <si>
    <t>모, 빽도</t>
    <phoneticPr fontId="1" type="noConversion"/>
  </si>
  <si>
    <t>상대방공격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</si>
</sst>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3" xfId="0" applyFill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0" xfId="1" applyFont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9" fontId="0" fillId="7" borderId="23" xfId="1" applyFont="1" applyFill="1" applyBorder="1">
      <alignment vertical="center"/>
    </xf>
    <xf numFmtId="9" fontId="0" fillId="0" borderId="0" xfId="1" applyFont="1">
      <alignment vertical="center"/>
    </xf>
    <xf numFmtId="0" fontId="0" fillId="0" borderId="0" xfId="1" applyNumberFormat="1" applyFon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FF00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9" dropStyle="combo" dx="22" fmlaLink="Sheet2!$A$2" fmlaRange="Sheet2!$A$3:$A$13" noThreeD="1" sel="3" val="2"/>
</file>

<file path=xl/ctrlProps/ctrlProp2.xml><?xml version="1.0" encoding="utf-8"?>
<formControlPr xmlns="http://schemas.microsoft.com/office/spreadsheetml/2009/9/main" objectType="Drop" dropStyle="combo" dx="22" fmlaLink="Sheet2!$B$2" fmlaRange="Sheet2!$B$3:$B$4" noThreeD="1" sel="2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38</xdr:row>
          <xdr:rowOff>66675</xdr:rowOff>
        </xdr:from>
        <xdr:to>
          <xdr:col>1</xdr:col>
          <xdr:colOff>714375</xdr:colOff>
          <xdr:row>44</xdr:row>
          <xdr:rowOff>0</xdr:rowOff>
        </xdr:to>
        <xdr:sp macro="" textlink="">
          <xdr:nvSpPr>
            <xdr:cNvPr id="1029" name="Play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161925</xdr:rowOff>
        </xdr:from>
        <xdr:to>
          <xdr:col>1</xdr:col>
          <xdr:colOff>695325</xdr:colOff>
          <xdr:row>81</xdr:row>
          <xdr:rowOff>38100</xdr:rowOff>
        </xdr:to>
        <xdr:sp macro="" textlink="">
          <xdr:nvSpPr>
            <xdr:cNvPr id="1030" name="battl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9525</xdr:colOff>
          <xdr:row>2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9525</xdr:colOff>
          <xdr:row>0</xdr:row>
          <xdr:rowOff>352425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0</xdr:row>
          <xdr:rowOff>142875</xdr:rowOff>
        </xdr:from>
        <xdr:to>
          <xdr:col>6</xdr:col>
          <xdr:colOff>66675</xdr:colOff>
          <xdr:row>1</xdr:row>
          <xdr:rowOff>219075</xdr:rowOff>
        </xdr:to>
        <xdr:sp macro="" textlink="">
          <xdr:nvSpPr>
            <xdr:cNvPr id="2051" name="MapSetting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C459D-E2D0-48A1-AF82-6920E6C5BB29}">
  <sheetPr codeName="Sheet1"/>
  <dimension ref="A1:AC43"/>
  <sheetViews>
    <sheetView tabSelected="1" zoomScale="85" zoomScaleNormal="85" workbookViewId="0">
      <selection activeCell="B37" sqref="B37"/>
    </sheetView>
  </sheetViews>
  <sheetFormatPr defaultColWidth="9" defaultRowHeight="16.5"/>
  <cols>
    <col min="1" max="1" width="21.375" style="1" bestFit="1" customWidth="1"/>
    <col min="2" max="3" width="14.375" style="1" bestFit="1" customWidth="1"/>
    <col min="4" max="4" width="11.625" style="1" bestFit="1" customWidth="1"/>
    <col min="5" max="5" width="12.75" style="1" bestFit="1" customWidth="1"/>
    <col min="6" max="8" width="9" style="1"/>
    <col min="9" max="9" width="17.875" style="1" bestFit="1" customWidth="1"/>
    <col min="10" max="12" width="9" style="1"/>
    <col min="13" max="13" width="11.625" style="1" bestFit="1" customWidth="1"/>
    <col min="14" max="17" width="9" style="1"/>
    <col min="18" max="18" width="17.75" style="1" bestFit="1" customWidth="1"/>
    <col min="19" max="22" width="9.625" style="1" bestFit="1" customWidth="1"/>
    <col min="23" max="25" width="9" style="1"/>
    <col min="26" max="26" width="16.5" style="1" bestFit="1" customWidth="1"/>
    <col min="27" max="27" width="7.125" style="1" bestFit="1" customWidth="1"/>
    <col min="28" max="28" width="5.25" style="1" bestFit="1" customWidth="1"/>
    <col min="29" max="29" width="9.625" style="1" bestFit="1" customWidth="1"/>
    <col min="30" max="16384" width="9" style="1"/>
  </cols>
  <sheetData>
    <row r="1" spans="1:29">
      <c r="A1" s="44" t="s">
        <v>0</v>
      </c>
      <c r="B1" s="45"/>
      <c r="C1" s="45"/>
      <c r="D1" s="47"/>
      <c r="E1" s="44" t="s">
        <v>4</v>
      </c>
      <c r="F1" s="45"/>
      <c r="G1" s="45"/>
      <c r="H1" s="45"/>
      <c r="I1" s="47"/>
      <c r="J1" s="44" t="s">
        <v>7</v>
      </c>
      <c r="K1" s="45"/>
      <c r="L1" s="45"/>
      <c r="M1" s="47"/>
      <c r="N1" s="44" t="s">
        <v>8</v>
      </c>
      <c r="O1" s="45"/>
      <c r="P1" s="45"/>
      <c r="Q1" s="45"/>
      <c r="R1" s="47"/>
      <c r="S1" s="46" t="s">
        <v>28</v>
      </c>
      <c r="T1" s="46"/>
      <c r="U1" s="46" t="s">
        <v>29</v>
      </c>
      <c r="V1" s="46"/>
      <c r="W1" s="44" t="s">
        <v>24</v>
      </c>
      <c r="X1" s="45"/>
      <c r="Y1" s="45"/>
      <c r="Z1" s="44" t="s">
        <v>25</v>
      </c>
      <c r="AA1" s="45"/>
      <c r="AB1" s="45"/>
      <c r="AC1" s="45"/>
    </row>
    <row r="2" spans="1:29">
      <c r="A2" s="2" t="s">
        <v>1</v>
      </c>
      <c r="B2" s="2" t="s">
        <v>2</v>
      </c>
      <c r="C2" s="2" t="s">
        <v>3</v>
      </c>
      <c r="D2" s="2" t="s">
        <v>6</v>
      </c>
      <c r="E2" s="2" t="s">
        <v>1</v>
      </c>
      <c r="F2" s="2" t="s">
        <v>2</v>
      </c>
      <c r="G2" s="2" t="s">
        <v>3</v>
      </c>
      <c r="H2" s="2" t="s">
        <v>5</v>
      </c>
      <c r="I2" s="2" t="s">
        <v>9</v>
      </c>
      <c r="J2" s="2" t="s">
        <v>1</v>
      </c>
      <c r="K2" s="2" t="s">
        <v>2</v>
      </c>
      <c r="L2" s="2" t="s">
        <v>3</v>
      </c>
      <c r="M2" s="2" t="s">
        <v>6</v>
      </c>
      <c r="N2" s="2" t="s">
        <v>1</v>
      </c>
      <c r="O2" s="2" t="s">
        <v>2</v>
      </c>
      <c r="P2" s="2" t="s">
        <v>3</v>
      </c>
      <c r="Q2" s="2" t="s">
        <v>5</v>
      </c>
      <c r="R2" s="2" t="s">
        <v>10</v>
      </c>
      <c r="S2" s="2" t="s">
        <v>30</v>
      </c>
      <c r="T2" s="2" t="s">
        <v>31</v>
      </c>
      <c r="U2" s="2" t="s">
        <v>30</v>
      </c>
      <c r="V2" s="2" t="s">
        <v>31</v>
      </c>
      <c r="W2" s="2" t="s">
        <v>1</v>
      </c>
      <c r="X2" s="2" t="s">
        <v>2</v>
      </c>
      <c r="Y2" s="2" t="s">
        <v>3</v>
      </c>
      <c r="Z2" s="2" t="s">
        <v>1</v>
      </c>
      <c r="AA2" s="2" t="s">
        <v>2</v>
      </c>
      <c r="AB2" s="2" t="s">
        <v>3</v>
      </c>
      <c r="AC2" s="2" t="s">
        <v>5</v>
      </c>
    </row>
    <row r="3" spans="1:29">
      <c r="A3" s="3">
        <v>1</v>
      </c>
      <c r="B3" s="3">
        <v>1</v>
      </c>
      <c r="C3" s="3">
        <v>1</v>
      </c>
      <c r="D3" s="3">
        <v>5</v>
      </c>
      <c r="E3" s="3">
        <f>A3</f>
        <v>1</v>
      </c>
      <c r="F3" s="3">
        <f>B3</f>
        <v>1</v>
      </c>
      <c r="G3" s="3">
        <f>C3*10</f>
        <v>10</v>
      </c>
      <c r="H3" s="3">
        <v>10</v>
      </c>
      <c r="I3" s="3">
        <v>216</v>
      </c>
      <c r="J3" s="3">
        <v>1</v>
      </c>
      <c r="K3" s="3">
        <v>1</v>
      </c>
      <c r="L3" s="3">
        <v>1</v>
      </c>
      <c r="M3" s="3">
        <v>5</v>
      </c>
      <c r="N3" s="3">
        <f>J3</f>
        <v>1</v>
      </c>
      <c r="O3" s="3">
        <f>K3</f>
        <v>1</v>
      </c>
      <c r="P3" s="3">
        <f>L3*10</f>
        <v>10</v>
      </c>
      <c r="Q3" s="3">
        <v>10</v>
      </c>
      <c r="R3" s="3">
        <v>953</v>
      </c>
      <c r="S3" s="3">
        <v>-1</v>
      </c>
      <c r="T3" s="3">
        <v>5</v>
      </c>
      <c r="U3" s="3">
        <v>-1</v>
      </c>
      <c r="V3" s="3">
        <v>5</v>
      </c>
      <c r="W3" s="3">
        <v>1</v>
      </c>
      <c r="X3" s="3">
        <v>1</v>
      </c>
      <c r="Y3" s="3">
        <v>1</v>
      </c>
      <c r="Z3" s="3">
        <f>W3</f>
        <v>1</v>
      </c>
      <c r="AA3" s="3">
        <f>X3</f>
        <v>1</v>
      </c>
      <c r="AB3" s="3">
        <f>Y3*10</f>
        <v>10</v>
      </c>
      <c r="AC3" s="3">
        <v>10</v>
      </c>
    </row>
    <row r="6" spans="1:29">
      <c r="B6" s="25" t="s">
        <v>33</v>
      </c>
      <c r="C6" s="25"/>
      <c r="D6" s="25" t="s">
        <v>39</v>
      </c>
      <c r="E6" s="26" t="s">
        <v>40</v>
      </c>
      <c r="F6" s="26" t="s">
        <v>41</v>
      </c>
      <c r="G6" s="26" t="s">
        <v>42</v>
      </c>
      <c r="H6" s="26" t="s">
        <v>43</v>
      </c>
      <c r="I6" s="26" t="s">
        <v>44</v>
      </c>
    </row>
    <row r="7" spans="1:29">
      <c r="A7" s="1" t="s">
        <v>26</v>
      </c>
      <c r="B7" s="43">
        <v>25</v>
      </c>
      <c r="C7" s="12">
        <v>7</v>
      </c>
      <c r="D7" s="12">
        <v>2</v>
      </c>
      <c r="E7" s="12">
        <v>3</v>
      </c>
      <c r="F7" s="12">
        <v>1</v>
      </c>
      <c r="G7" s="12">
        <v>1</v>
      </c>
      <c r="H7" s="12">
        <v>3</v>
      </c>
      <c r="I7" s="12">
        <v>2</v>
      </c>
    </row>
    <row r="8" spans="1:29">
      <c r="A8" s="1" t="s">
        <v>62</v>
      </c>
      <c r="B8" s="43"/>
      <c r="C8" s="27">
        <f>SUM(C7/B7)</f>
        <v>0.28000000000000003</v>
      </c>
      <c r="D8" s="27">
        <f>SUM(D7/B7)</f>
        <v>0.08</v>
      </c>
      <c r="E8" s="27">
        <f>SUM(E7/B7)</f>
        <v>0.12</v>
      </c>
      <c r="F8" s="27">
        <f>SUM(F7/B7)</f>
        <v>0.04</v>
      </c>
      <c r="G8" s="27">
        <f>SUM(G7/B7)</f>
        <v>0.04</v>
      </c>
      <c r="H8" s="27">
        <f>SUM(H7/B7)</f>
        <v>0.12</v>
      </c>
      <c r="I8" s="27">
        <f>SUM(I7/B7)</f>
        <v>0.08</v>
      </c>
    </row>
    <row r="9" spans="1:29">
      <c r="A9" s="1" t="s">
        <v>65</v>
      </c>
      <c r="B9" s="43"/>
      <c r="C9" s="42">
        <f>SUM(C8+D8+E8+F8+G8+H8+I8)</f>
        <v>0.76</v>
      </c>
      <c r="D9" s="42"/>
      <c r="E9" s="42"/>
      <c r="F9" s="42"/>
      <c r="G9" s="42"/>
      <c r="H9" s="42"/>
      <c r="I9" s="42"/>
    </row>
    <row r="10" spans="1:29">
      <c r="A10" s="11" t="s">
        <v>63</v>
      </c>
      <c r="B10" s="43">
        <v>453</v>
      </c>
      <c r="C10" s="29">
        <v>131</v>
      </c>
      <c r="D10" s="29">
        <v>70</v>
      </c>
      <c r="E10" s="29">
        <v>82</v>
      </c>
      <c r="F10" s="29">
        <v>37</v>
      </c>
      <c r="G10" s="29">
        <v>17</v>
      </c>
      <c r="H10" s="29">
        <v>67</v>
      </c>
      <c r="I10" s="29">
        <v>43</v>
      </c>
    </row>
    <row r="11" spans="1:29">
      <c r="A11" s="11" t="s">
        <v>64</v>
      </c>
      <c r="B11" s="43"/>
      <c r="C11" s="28">
        <f>SUM(C10/B10)</f>
        <v>0.28918322295805737</v>
      </c>
      <c r="D11" s="28">
        <f>SUM(D10/B10)</f>
        <v>0.1545253863134658</v>
      </c>
      <c r="E11" s="28">
        <f>SUM(E10/B10)</f>
        <v>0.18101545253863136</v>
      </c>
      <c r="F11" s="28">
        <f>SUM(F10/B10)</f>
        <v>8.1677704194260486E-2</v>
      </c>
      <c r="G11" s="28">
        <f>SUM(G10/B10)</f>
        <v>3.7527593818984545E-2</v>
      </c>
      <c r="H11" s="28">
        <f>SUM(H10/B10)</f>
        <v>0.1479028697571744</v>
      </c>
      <c r="I11" s="28">
        <f>SUM(I10/B10)</f>
        <v>9.4922737306843266E-2</v>
      </c>
    </row>
    <row r="12" spans="1:29">
      <c r="A12" s="11"/>
      <c r="B12" s="25" t="s">
        <v>33</v>
      </c>
      <c r="C12" s="25" t="s">
        <v>77</v>
      </c>
      <c r="D12" s="25" t="s">
        <v>39</v>
      </c>
      <c r="E12" s="26" t="s">
        <v>40</v>
      </c>
      <c r="F12" s="26" t="s">
        <v>41</v>
      </c>
      <c r="G12" s="26" t="s">
        <v>42</v>
      </c>
      <c r="H12" s="26" t="s">
        <v>43</v>
      </c>
      <c r="I12" s="26" t="s">
        <v>44</v>
      </c>
    </row>
    <row r="13" spans="1:29">
      <c r="A13" s="1" t="s">
        <v>27</v>
      </c>
      <c r="B13" s="41">
        <v>25</v>
      </c>
      <c r="C13" s="1">
        <v>2</v>
      </c>
      <c r="D13" s="1">
        <v>4</v>
      </c>
      <c r="E13" s="1">
        <v>6</v>
      </c>
      <c r="F13" s="1">
        <v>1</v>
      </c>
      <c r="H13" s="1">
        <v>1</v>
      </c>
      <c r="I13" s="1">
        <v>5</v>
      </c>
    </row>
    <row r="14" spans="1:29">
      <c r="A14" s="1" t="s">
        <v>62</v>
      </c>
      <c r="B14" s="41"/>
      <c r="C14" s="32">
        <f>SUM(C13/B13)</f>
        <v>0.08</v>
      </c>
      <c r="D14" s="32">
        <f>SUM(D13/B13)</f>
        <v>0.16</v>
      </c>
      <c r="E14" s="32">
        <f>SUM(E13/B13)</f>
        <v>0.24</v>
      </c>
      <c r="F14" s="32">
        <f>SUM(F13/B13)</f>
        <v>0.04</v>
      </c>
      <c r="G14" s="32">
        <f>SUM(G13/B13)</f>
        <v>0</v>
      </c>
      <c r="H14" s="32">
        <f>SUM(H13/B13)</f>
        <v>0.04</v>
      </c>
      <c r="I14" s="32">
        <f>SUM(I13/B13)</f>
        <v>0.2</v>
      </c>
    </row>
    <row r="15" spans="1:29">
      <c r="A15" s="1" t="s">
        <v>65</v>
      </c>
      <c r="B15" s="41"/>
    </row>
    <row r="16" spans="1:29">
      <c r="A16" s="11" t="s">
        <v>63</v>
      </c>
      <c r="B16" s="41">
        <v>437</v>
      </c>
      <c r="C16" s="1">
        <v>113</v>
      </c>
      <c r="D16" s="1">
        <v>80</v>
      </c>
      <c r="E16" s="1">
        <v>84</v>
      </c>
      <c r="F16" s="1">
        <v>43</v>
      </c>
      <c r="G16" s="1">
        <v>18</v>
      </c>
      <c r="H16" s="1">
        <v>49</v>
      </c>
      <c r="I16" s="1">
        <v>44</v>
      </c>
    </row>
    <row r="17" spans="1:17">
      <c r="A17" s="11" t="s">
        <v>64</v>
      </c>
      <c r="B17" s="41"/>
      <c r="C17" s="32">
        <f>SUM(C16/B16)</f>
        <v>0.2585812356979405</v>
      </c>
      <c r="D17" s="32">
        <f>SUM(D16/B16)</f>
        <v>0.18306636155606407</v>
      </c>
      <c r="E17" s="32">
        <f>SUM(E16/B16)</f>
        <v>0.19221967963386727</v>
      </c>
      <c r="F17" s="32">
        <f>SUM(F16/B16)</f>
        <v>9.8398169336384442E-2</v>
      </c>
      <c r="G17" s="32">
        <f>SUM(G16/B16)</f>
        <v>4.1189931350114416E-2</v>
      </c>
      <c r="H17" s="32">
        <f>SUM(H16/B16)</f>
        <v>0.11212814645308924</v>
      </c>
      <c r="I17" s="32">
        <f>SUM(I16/B16)</f>
        <v>0.10068649885583524</v>
      </c>
    </row>
    <row r="19" spans="1:17">
      <c r="A19" s="11" t="s">
        <v>67</v>
      </c>
      <c r="B19" s="1" t="str">
        <f>_xlfn.CONCAT(((B7+B13)*30)/60, " 분 ")</f>
        <v xml:space="preserve">25 분 </v>
      </c>
    </row>
    <row r="20" spans="1:17">
      <c r="A20" s="11" t="s">
        <v>66</v>
      </c>
      <c r="K20"/>
      <c r="L20"/>
      <c r="Q20"/>
    </row>
    <row r="21" spans="1:17">
      <c r="B21" s="31" t="s">
        <v>97</v>
      </c>
      <c r="C21" s="31" t="s">
        <v>98</v>
      </c>
      <c r="D21" s="31" t="s">
        <v>100</v>
      </c>
      <c r="E21" s="26" t="s">
        <v>99</v>
      </c>
      <c r="K21"/>
      <c r="M21"/>
    </row>
    <row r="22" spans="1:17">
      <c r="A22" s="11" t="s">
        <v>95</v>
      </c>
      <c r="B22" s="1">
        <v>25</v>
      </c>
      <c r="C22" s="1">
        <v>217</v>
      </c>
      <c r="K22"/>
    </row>
    <row r="23" spans="1:17">
      <c r="A23" s="5" t="s">
        <v>84</v>
      </c>
      <c r="B23" s="1">
        <v>8</v>
      </c>
      <c r="C23" s="1">
        <v>39</v>
      </c>
      <c r="D23" s="32">
        <f>SUM(B23/B22)</f>
        <v>0.32</v>
      </c>
      <c r="E23" s="32">
        <f>SUM(C23/C22)</f>
        <v>0.17972350230414746</v>
      </c>
      <c r="K23"/>
    </row>
    <row r="24" spans="1:17">
      <c r="A24" s="5" t="s">
        <v>85</v>
      </c>
      <c r="B24" s="1">
        <v>3</v>
      </c>
      <c r="C24" s="1">
        <v>20</v>
      </c>
      <c r="D24" s="32">
        <f>SUM(B24/B22)</f>
        <v>0.12</v>
      </c>
      <c r="E24" s="32">
        <f>SUM(C24/C22)</f>
        <v>9.2165898617511524E-2</v>
      </c>
      <c r="K24"/>
    </row>
    <row r="25" spans="1:17">
      <c r="A25" s="11" t="s">
        <v>86</v>
      </c>
      <c r="B25" s="1">
        <v>1</v>
      </c>
      <c r="C25" s="1">
        <v>12</v>
      </c>
      <c r="D25" s="32">
        <f>SUM(B25/B22)</f>
        <v>0.04</v>
      </c>
      <c r="E25" s="32">
        <f>SUM(C25/C22)</f>
        <v>5.5299539170506916E-2</v>
      </c>
      <c r="F25" s="1" t="s">
        <v>76</v>
      </c>
      <c r="K25"/>
    </row>
    <row r="26" spans="1:17">
      <c r="A26" s="5" t="s">
        <v>87</v>
      </c>
      <c r="B26" s="1">
        <v>1</v>
      </c>
      <c r="C26" s="1">
        <v>6</v>
      </c>
      <c r="D26" s="32">
        <f>SUM(B26/B22)</f>
        <v>0.04</v>
      </c>
      <c r="E26" s="32">
        <f>SUM(C26/C22)</f>
        <v>2.7649769585253458E-2</v>
      </c>
      <c r="K26"/>
    </row>
    <row r="27" spans="1:17">
      <c r="A27" s="5" t="s">
        <v>80</v>
      </c>
      <c r="B27" s="1">
        <v>4</v>
      </c>
      <c r="C27" s="1">
        <v>36</v>
      </c>
      <c r="D27" s="32">
        <f>SUM(B27/B22)</f>
        <v>0.16</v>
      </c>
      <c r="E27" s="32">
        <f>SUM(C27/C22)</f>
        <v>0.16589861751152074</v>
      </c>
      <c r="K27"/>
    </row>
    <row r="28" spans="1:17">
      <c r="A28" s="5" t="s">
        <v>81</v>
      </c>
      <c r="B28" s="1">
        <v>2</v>
      </c>
      <c r="C28" s="1">
        <v>27</v>
      </c>
      <c r="D28" s="32">
        <f>SUM(B28/B22)</f>
        <v>0.08</v>
      </c>
      <c r="E28" s="32">
        <f>SUM(C28/C22)</f>
        <v>0.12442396313364056</v>
      </c>
      <c r="K28"/>
    </row>
    <row r="29" spans="1:17">
      <c r="A29" s="5" t="s">
        <v>82</v>
      </c>
      <c r="B29" s="1">
        <v>1</v>
      </c>
      <c r="C29" s="1">
        <v>28</v>
      </c>
      <c r="D29" s="32">
        <f>SUM(B29/B22)</f>
        <v>0.04</v>
      </c>
      <c r="E29" s="32">
        <f>SUM(C29/C22)</f>
        <v>0.12903225806451613</v>
      </c>
      <c r="K29"/>
      <c r="L29"/>
      <c r="M29"/>
    </row>
    <row r="30" spans="1:17">
      <c r="B30" s="31" t="s">
        <v>97</v>
      </c>
      <c r="C30" s="31" t="s">
        <v>98</v>
      </c>
      <c r="D30" s="31" t="s">
        <v>100</v>
      </c>
      <c r="E30" s="26" t="s">
        <v>99</v>
      </c>
      <c r="K30"/>
      <c r="L30"/>
      <c r="M30"/>
    </row>
    <row r="31" spans="1:17">
      <c r="A31" s="11" t="s">
        <v>96</v>
      </c>
      <c r="B31" s="1">
        <v>25</v>
      </c>
      <c r="C31" s="1">
        <v>217</v>
      </c>
      <c r="K31"/>
      <c r="L31"/>
      <c r="M31"/>
    </row>
    <row r="32" spans="1:17">
      <c r="A32" s="5" t="s">
        <v>84</v>
      </c>
      <c r="B32" s="1">
        <v>3</v>
      </c>
      <c r="C32" s="1">
        <v>40</v>
      </c>
      <c r="D32" s="32">
        <f>SUM(B32/B31)</f>
        <v>0.12</v>
      </c>
      <c r="E32" s="32">
        <f>SUM(C32/C31)</f>
        <v>0.18433179723502305</v>
      </c>
      <c r="K32"/>
      <c r="L32"/>
      <c r="M32"/>
    </row>
    <row r="33" spans="1:13">
      <c r="A33" s="5" t="s">
        <v>85</v>
      </c>
      <c r="B33" s="1">
        <v>2</v>
      </c>
      <c r="C33" s="1">
        <v>20</v>
      </c>
      <c r="D33" s="32">
        <f>SUM(B33/B31)</f>
        <v>0.08</v>
      </c>
      <c r="E33" s="32">
        <f>SUM(C33/C31)</f>
        <v>9.2165898617511524E-2</v>
      </c>
      <c r="K33"/>
      <c r="L33"/>
      <c r="M33"/>
    </row>
    <row r="34" spans="1:13">
      <c r="A34" s="11" t="s">
        <v>86</v>
      </c>
      <c r="B34" s="1">
        <v>2</v>
      </c>
      <c r="C34" s="1">
        <v>13</v>
      </c>
      <c r="D34" s="32">
        <f>SUM(B34/B31)</f>
        <v>0.08</v>
      </c>
      <c r="E34" s="32">
        <f>SUM(C34/C31)</f>
        <v>5.9907834101382486E-2</v>
      </c>
      <c r="K34"/>
      <c r="L34"/>
      <c r="M34"/>
    </row>
    <row r="35" spans="1:13">
      <c r="A35" s="5" t="s">
        <v>87</v>
      </c>
      <c r="B35" s="1">
        <v>2</v>
      </c>
      <c r="C35" s="1">
        <v>13</v>
      </c>
      <c r="D35" s="32">
        <f>SUM(B35/B31)</f>
        <v>0.08</v>
      </c>
      <c r="E35" s="32">
        <f>SUM(C35/C31)</f>
        <v>5.9907834101382486E-2</v>
      </c>
      <c r="K35"/>
      <c r="L35"/>
      <c r="M35"/>
    </row>
    <row r="36" spans="1:13">
      <c r="A36" s="5" t="s">
        <v>80</v>
      </c>
      <c r="B36" s="1">
        <v>2</v>
      </c>
      <c r="C36" s="1">
        <v>24</v>
      </c>
      <c r="D36" s="32">
        <f>SUM(B36/B31)</f>
        <v>0.08</v>
      </c>
      <c r="E36" s="32">
        <f>SUM(C36/C31)</f>
        <v>0.11059907834101383</v>
      </c>
      <c r="K36"/>
      <c r="L36"/>
      <c r="M36"/>
    </row>
    <row r="37" spans="1:13">
      <c r="A37" s="5" t="s">
        <v>81</v>
      </c>
      <c r="C37" s="1">
        <v>19</v>
      </c>
      <c r="D37" s="32">
        <f>SUM(B37/B31)</f>
        <v>0</v>
      </c>
      <c r="E37" s="32">
        <f>SUM(C37/C31)</f>
        <v>8.755760368663594E-2</v>
      </c>
      <c r="K37"/>
      <c r="L37"/>
      <c r="M37"/>
    </row>
    <row r="38" spans="1:13">
      <c r="A38" s="5" t="s">
        <v>82</v>
      </c>
      <c r="B38" s="1">
        <v>4</v>
      </c>
      <c r="C38" s="1">
        <v>33</v>
      </c>
      <c r="D38" s="32">
        <f>SUM(B38/B31)</f>
        <v>0.16</v>
      </c>
      <c r="E38" s="32">
        <f>SUM(C38/C31)</f>
        <v>0.15207373271889402</v>
      </c>
      <c r="K38"/>
      <c r="L38"/>
      <c r="M38"/>
    </row>
    <row r="39" spans="1:13">
      <c r="K39"/>
      <c r="L39"/>
      <c r="M39"/>
    </row>
    <row r="43" spans="1:13" ht="17.25" customHeight="1"/>
  </sheetData>
  <mergeCells count="13">
    <mergeCell ref="W1:Y1"/>
    <mergeCell ref="S1:T1"/>
    <mergeCell ref="U1:V1"/>
    <mergeCell ref="Z1:AC1"/>
    <mergeCell ref="A1:D1"/>
    <mergeCell ref="J1:M1"/>
    <mergeCell ref="E1:I1"/>
    <mergeCell ref="N1:R1"/>
    <mergeCell ref="B13:B15"/>
    <mergeCell ref="B16:B17"/>
    <mergeCell ref="C9:I9"/>
    <mergeCell ref="B7:B9"/>
    <mergeCell ref="B10:B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attle">
          <controlPr defaultSize="0" autoLine="0" r:id="rId5">
            <anchor moveWithCells="1">
              <from>
                <xdr:col>0</xdr:col>
                <xdr:colOff>0</xdr:colOff>
                <xdr:row>75</xdr:row>
                <xdr:rowOff>161925</xdr:rowOff>
              </from>
              <to>
                <xdr:col>1</xdr:col>
                <xdr:colOff>695325</xdr:colOff>
                <xdr:row>81</xdr:row>
                <xdr:rowOff>38100</xdr:rowOff>
              </to>
            </anchor>
          </controlPr>
        </control>
      </mc:Choice>
      <mc:Fallback>
        <control shapeId="1030" r:id="rId4" name="battle"/>
      </mc:Fallback>
    </mc:AlternateContent>
    <mc:AlternateContent xmlns:mc="http://schemas.openxmlformats.org/markup-compatibility/2006">
      <mc:Choice Requires="x14">
        <control shapeId="1029" r:id="rId6" name="Player">
          <controlPr defaultSize="0" autoLine="0" r:id="rId7">
            <anchor moveWithCells="1">
              <from>
                <xdr:col>0</xdr:col>
                <xdr:colOff>85725</xdr:colOff>
                <xdr:row>38</xdr:row>
                <xdr:rowOff>66675</xdr:rowOff>
              </from>
              <to>
                <xdr:col>1</xdr:col>
                <xdr:colOff>714375</xdr:colOff>
                <xdr:row>44</xdr:row>
                <xdr:rowOff>0</xdr:rowOff>
              </to>
            </anchor>
          </controlPr>
        </control>
      </mc:Choice>
      <mc:Fallback>
        <control shapeId="1029" r:id="rId6" name="Play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11D0-9B4B-46A9-9DFF-0B2C491715EF}">
  <sheetPr codeName="Sheet5"/>
  <dimension ref="A1:F24"/>
  <sheetViews>
    <sheetView workbookViewId="0">
      <selection activeCell="F24" sqref="F24"/>
    </sheetView>
  </sheetViews>
  <sheetFormatPr defaultRowHeight="16.5"/>
  <sheetData>
    <row r="1" spans="1:3">
      <c r="A1" t="s">
        <v>1</v>
      </c>
      <c r="B1" t="s">
        <v>73</v>
      </c>
      <c r="C1" t="s">
        <v>75</v>
      </c>
    </row>
    <row r="2" spans="1:3">
      <c r="A2" t="s">
        <v>2</v>
      </c>
      <c r="B2" t="s">
        <v>74</v>
      </c>
    </row>
    <row r="24" spans="6:6">
      <c r="F24" t="s">
        <v>76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2AC-FBA5-4610-832A-57F840C25DD4}">
  <sheetPr codeName="Sheet8"/>
  <dimension ref="A1:P34"/>
  <sheetViews>
    <sheetView zoomScaleNormal="100" workbookViewId="0">
      <selection activeCell="P15" sqref="P15"/>
    </sheetView>
  </sheetViews>
  <sheetFormatPr defaultRowHeight="16.5"/>
  <cols>
    <col min="1" max="1" width="15.75" style="30" customWidth="1"/>
    <col min="2" max="9" width="6.875" customWidth="1"/>
    <col min="13" max="13" width="11" bestFit="1" customWidth="1"/>
  </cols>
  <sheetData>
    <row r="1" spans="1:16" ht="26.25" customHeight="1">
      <c r="A1" s="10"/>
      <c r="B1" s="10"/>
      <c r="C1" s="10"/>
      <c r="D1" s="10"/>
      <c r="E1" s="33" t="s">
        <v>18</v>
      </c>
      <c r="F1" s="10"/>
      <c r="G1" s="10"/>
      <c r="H1" s="10"/>
      <c r="I1" s="10"/>
      <c r="J1" s="40">
        <v>1</v>
      </c>
      <c r="K1" s="5" t="s">
        <v>84</v>
      </c>
      <c r="M1" s="4"/>
      <c r="N1" s="4"/>
      <c r="O1" s="4" t="str">
        <f>_xlfn.CONCAT(32-N3-N4-N5-N6-N7-N8-N9, "타일")</f>
        <v>6타일</v>
      </c>
      <c r="P1" s="4"/>
    </row>
    <row r="2" spans="1:16" ht="26.25" customHeight="1">
      <c r="A2" s="10"/>
      <c r="B2" s="10"/>
      <c r="C2" s="10"/>
      <c r="D2" s="10"/>
      <c r="E2" s="34">
        <v>2</v>
      </c>
      <c r="F2" s="10"/>
      <c r="G2" s="10"/>
      <c r="H2" s="10"/>
      <c r="I2" s="10"/>
      <c r="J2" s="40">
        <v>2</v>
      </c>
      <c r="K2" s="5" t="s">
        <v>85</v>
      </c>
      <c r="M2" s="4"/>
      <c r="N2" s="4"/>
      <c r="O2" s="4" t="s">
        <v>83</v>
      </c>
      <c r="P2" s="4"/>
    </row>
    <row r="3" spans="1:16" ht="26.25" customHeight="1">
      <c r="A3" s="10"/>
      <c r="B3" s="10"/>
      <c r="C3" s="10"/>
      <c r="D3" s="10"/>
      <c r="E3" s="38">
        <v>4</v>
      </c>
      <c r="F3" s="10"/>
      <c r="G3" s="10"/>
      <c r="H3" s="10"/>
      <c r="I3" s="10"/>
      <c r="J3" s="40">
        <v>3</v>
      </c>
      <c r="K3" s="11" t="s">
        <v>86</v>
      </c>
      <c r="L3" s="5">
        <v>1</v>
      </c>
      <c r="M3" s="5" t="s">
        <v>84</v>
      </c>
      <c r="N3">
        <v>5</v>
      </c>
      <c r="O3" s="5">
        <v>5</v>
      </c>
      <c r="P3" s="5">
        <f>SUM(N3-O3)</f>
        <v>0</v>
      </c>
    </row>
    <row r="4" spans="1:16" ht="26.25" customHeight="1">
      <c r="A4" s="10"/>
      <c r="B4" s="10"/>
      <c r="C4" s="10"/>
      <c r="D4" s="10"/>
      <c r="E4" s="39">
        <v>6</v>
      </c>
      <c r="F4" s="36">
        <v>1</v>
      </c>
      <c r="G4" s="35">
        <v>7</v>
      </c>
      <c r="H4" s="34">
        <v>2</v>
      </c>
      <c r="I4" s="10"/>
      <c r="J4" s="40">
        <v>4</v>
      </c>
      <c r="K4" s="5" t="s">
        <v>87</v>
      </c>
      <c r="L4" s="5">
        <v>2</v>
      </c>
      <c r="M4" s="5" t="s">
        <v>85</v>
      </c>
      <c r="N4">
        <v>3</v>
      </c>
      <c r="O4" s="5">
        <v>3</v>
      </c>
      <c r="P4" s="5">
        <f>SUM(N4-O4)</f>
        <v>0</v>
      </c>
    </row>
    <row r="5" spans="1:16" ht="26.25" customHeight="1">
      <c r="A5" s="10"/>
      <c r="B5" s="10"/>
      <c r="C5" s="10"/>
      <c r="D5" s="10"/>
      <c r="E5" s="10"/>
      <c r="F5" s="10"/>
      <c r="G5" s="10"/>
      <c r="H5" s="38">
        <v>4</v>
      </c>
      <c r="I5" s="10"/>
      <c r="J5" s="40">
        <v>5</v>
      </c>
      <c r="K5" s="5" t="s">
        <v>80</v>
      </c>
      <c r="L5" s="5">
        <v>3</v>
      </c>
      <c r="M5" s="11" t="s">
        <v>86</v>
      </c>
      <c r="N5">
        <v>2</v>
      </c>
      <c r="O5" s="5">
        <v>2</v>
      </c>
      <c r="P5" s="5">
        <f t="shared" ref="P5:P9" si="0">SUM(N5-O5)</f>
        <v>0</v>
      </c>
    </row>
    <row r="6" spans="1:16" ht="26.25" customHeight="1">
      <c r="A6" s="10"/>
      <c r="B6" s="10"/>
      <c r="C6" s="10"/>
      <c r="D6" s="10"/>
      <c r="E6" s="10"/>
      <c r="F6" s="10"/>
      <c r="G6" s="10"/>
      <c r="H6" s="7">
        <v>0</v>
      </c>
      <c r="I6" s="10"/>
      <c r="J6" s="40">
        <v>6</v>
      </c>
      <c r="K6" s="5" t="s">
        <v>81</v>
      </c>
      <c r="L6" s="5">
        <v>4</v>
      </c>
      <c r="M6" s="5" t="s">
        <v>87</v>
      </c>
      <c r="N6">
        <v>2</v>
      </c>
      <c r="O6" s="5">
        <v>2</v>
      </c>
      <c r="P6" s="5">
        <f t="shared" si="0"/>
        <v>0</v>
      </c>
    </row>
    <row r="7" spans="1:16" ht="26.25" customHeight="1">
      <c r="A7" s="10"/>
      <c r="B7" s="10"/>
      <c r="C7" s="10"/>
      <c r="D7" s="37">
        <v>3</v>
      </c>
      <c r="E7" s="7">
        <v>0</v>
      </c>
      <c r="F7" s="6">
        <v>5</v>
      </c>
      <c r="G7" s="7">
        <v>0</v>
      </c>
      <c r="H7" s="39">
        <v>6</v>
      </c>
      <c r="I7" s="10"/>
      <c r="J7" s="40">
        <v>7</v>
      </c>
      <c r="K7" s="5" t="s">
        <v>82</v>
      </c>
      <c r="L7" s="5">
        <v>5</v>
      </c>
      <c r="M7" s="5" t="s">
        <v>80</v>
      </c>
      <c r="N7">
        <v>5</v>
      </c>
      <c r="O7" s="5">
        <v>5</v>
      </c>
      <c r="P7" s="5">
        <f t="shared" si="0"/>
        <v>0</v>
      </c>
    </row>
    <row r="8" spans="1:16" ht="26.25" customHeight="1">
      <c r="A8" s="10"/>
      <c r="B8" s="10"/>
      <c r="C8" s="10"/>
      <c r="D8" s="36">
        <v>1</v>
      </c>
      <c r="E8" s="10"/>
      <c r="F8" s="10"/>
      <c r="G8" s="10"/>
      <c r="H8" s="10"/>
      <c r="I8" s="10"/>
      <c r="L8" s="5">
        <v>6</v>
      </c>
      <c r="M8" s="5" t="s">
        <v>81</v>
      </c>
      <c r="N8">
        <v>4</v>
      </c>
      <c r="O8" s="5">
        <v>4</v>
      </c>
      <c r="P8" s="5">
        <f t="shared" si="0"/>
        <v>0</v>
      </c>
    </row>
    <row r="9" spans="1:16" ht="26.25" customHeight="1">
      <c r="A9" s="10"/>
      <c r="B9" s="10"/>
      <c r="C9" s="35">
        <v>7</v>
      </c>
      <c r="D9" s="34">
        <v>2</v>
      </c>
      <c r="E9" s="10"/>
      <c r="F9" s="10"/>
      <c r="G9" s="10"/>
      <c r="H9" s="10"/>
      <c r="I9" s="10"/>
      <c r="L9" s="5">
        <v>7</v>
      </c>
      <c r="M9" s="5" t="s">
        <v>105</v>
      </c>
      <c r="N9">
        <v>5</v>
      </c>
      <c r="O9" s="5">
        <v>5</v>
      </c>
      <c r="P9" s="5">
        <f t="shared" si="0"/>
        <v>0</v>
      </c>
    </row>
    <row r="10" spans="1:16" ht="26.25" customHeight="1">
      <c r="A10" s="10"/>
      <c r="B10" s="10"/>
      <c r="C10" s="6">
        <v>5</v>
      </c>
      <c r="D10" s="10"/>
      <c r="E10" s="10"/>
      <c r="F10" s="10"/>
      <c r="G10" s="10"/>
      <c r="H10" s="10"/>
      <c r="I10" s="10"/>
    </row>
    <row r="11" spans="1:16" ht="26.25" customHeight="1">
      <c r="A11" s="10"/>
      <c r="B11" s="10"/>
      <c r="C11" s="39">
        <v>6</v>
      </c>
      <c r="D11" s="10"/>
      <c r="E11" s="10"/>
      <c r="F11" s="10"/>
      <c r="G11" s="10"/>
      <c r="H11" s="10"/>
      <c r="I11" s="10"/>
    </row>
    <row r="12" spans="1:16" ht="26.25" customHeight="1">
      <c r="A12" s="10"/>
      <c r="B12" s="10"/>
      <c r="C12" s="7">
        <v>0</v>
      </c>
      <c r="D12" s="36">
        <v>1</v>
      </c>
      <c r="E12" s="35">
        <v>7</v>
      </c>
      <c r="F12" s="6">
        <v>5</v>
      </c>
      <c r="G12" s="7">
        <v>0</v>
      </c>
      <c r="H12" s="10"/>
      <c r="I12" s="10"/>
    </row>
    <row r="13" spans="1:16" ht="26.25" customHeight="1">
      <c r="A13" s="10"/>
      <c r="B13" s="10"/>
      <c r="C13" s="10"/>
      <c r="D13" s="10"/>
      <c r="E13" s="10"/>
      <c r="F13" s="10"/>
      <c r="G13" s="39">
        <v>6</v>
      </c>
      <c r="H13" s="10"/>
      <c r="I13" s="10"/>
    </row>
    <row r="14" spans="1:16" ht="26.25" customHeight="1">
      <c r="A14" s="10"/>
      <c r="B14" s="10"/>
      <c r="C14" s="10"/>
      <c r="D14" s="10"/>
      <c r="E14" s="10"/>
      <c r="F14" s="10"/>
      <c r="G14" s="7">
        <v>0</v>
      </c>
      <c r="H14" s="10"/>
      <c r="I14" s="10"/>
    </row>
    <row r="15" spans="1:16" ht="26.25" customHeight="1">
      <c r="A15" s="10"/>
      <c r="B15" s="10"/>
      <c r="C15" s="10"/>
      <c r="D15" s="10"/>
      <c r="E15" s="10"/>
      <c r="F15" s="10"/>
      <c r="G15" s="35">
        <v>7</v>
      </c>
      <c r="H15" s="10"/>
      <c r="I15" s="10"/>
    </row>
    <row r="16" spans="1:16" ht="26.25" customHeight="1">
      <c r="A16" s="10"/>
      <c r="B16" s="10"/>
      <c r="C16" s="10"/>
      <c r="D16" s="10"/>
      <c r="E16" s="35">
        <v>7</v>
      </c>
      <c r="F16" s="6">
        <v>5</v>
      </c>
      <c r="G16" s="36">
        <v>1</v>
      </c>
      <c r="H16" s="10"/>
      <c r="I16" s="10"/>
    </row>
    <row r="17" spans="1:9" ht="26.25" customHeight="1">
      <c r="A17" s="10"/>
      <c r="B17" s="10"/>
      <c r="C17" s="10"/>
      <c r="D17" s="10"/>
      <c r="E17" s="37">
        <v>3</v>
      </c>
      <c r="F17" s="10"/>
      <c r="G17" s="10"/>
      <c r="H17" s="10"/>
      <c r="I17" s="10"/>
    </row>
    <row r="18" spans="1:9" ht="26.25" customHeight="1">
      <c r="A18" s="10"/>
      <c r="B18" s="10"/>
      <c r="C18" s="10"/>
      <c r="D18" s="10"/>
      <c r="E18" s="36">
        <v>1</v>
      </c>
      <c r="F18" s="10"/>
      <c r="G18" s="10"/>
      <c r="H18" s="10"/>
      <c r="I18" s="10"/>
    </row>
    <row r="19" spans="1:9" ht="26.25" customHeight="1">
      <c r="A19" s="10"/>
      <c r="B19" s="10"/>
      <c r="C19" s="10"/>
      <c r="D19" s="10"/>
      <c r="E19" s="6">
        <v>5</v>
      </c>
      <c r="F19" s="10"/>
      <c r="G19" s="10"/>
      <c r="H19" s="10"/>
      <c r="I19" s="10"/>
    </row>
    <row r="20" spans="1:9" ht="26.25" customHeight="1">
      <c r="A20" s="10"/>
      <c r="B20" s="10"/>
      <c r="C20" s="10"/>
      <c r="D20" s="10"/>
      <c r="E20" s="6" t="s">
        <v>11</v>
      </c>
      <c r="F20" s="10"/>
      <c r="G20" s="10"/>
      <c r="H20" s="10"/>
      <c r="I20" s="10"/>
    </row>
    <row r="33" spans="1:1">
      <c r="A33"/>
    </row>
    <row r="34" spans="1:1">
      <c r="A3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309B0-AB72-4F14-9B48-CFFB8F6607B5}">
  <sheetPr codeName="Sheet7"/>
  <dimension ref="A1:AY18"/>
  <sheetViews>
    <sheetView topLeftCell="AA1" workbookViewId="0">
      <selection activeCell="AK24" sqref="AK24"/>
    </sheetView>
  </sheetViews>
  <sheetFormatPr defaultRowHeight="16.5"/>
  <cols>
    <col min="1" max="4" width="5.125" bestFit="1" customWidth="1"/>
    <col min="5" max="5" width="5.625" bestFit="1" customWidth="1"/>
    <col min="6" max="6" width="5.375" bestFit="1" customWidth="1"/>
    <col min="7" max="7" width="5.625" bestFit="1" customWidth="1"/>
    <col min="8" max="11" width="13.125" bestFit="1" customWidth="1"/>
    <col min="12" max="12" width="16.625" bestFit="1" customWidth="1"/>
    <col min="13" max="13" width="18.75" bestFit="1" customWidth="1"/>
    <col min="14" max="14" width="15.25" bestFit="1" customWidth="1"/>
    <col min="15" max="20" width="10.25" bestFit="1" customWidth="1"/>
    <col min="21" max="21" width="12.375" bestFit="1" customWidth="1"/>
    <col min="22" max="22" width="10.25" bestFit="1" customWidth="1"/>
    <col min="23" max="26" width="13" bestFit="1" customWidth="1"/>
    <col min="27" max="27" width="16.5" bestFit="1" customWidth="1"/>
    <col min="28" max="28" width="18.625" bestFit="1" customWidth="1"/>
    <col min="29" max="29" width="15.125" bestFit="1" customWidth="1"/>
    <col min="30" max="34" width="10.25" bestFit="1" customWidth="1"/>
    <col min="35" max="35" width="12.375" bestFit="1" customWidth="1"/>
    <col min="36" max="36" width="12.25" customWidth="1"/>
    <col min="37" max="40" width="13" bestFit="1" customWidth="1"/>
    <col min="41" max="41" width="16.5" bestFit="1" customWidth="1"/>
    <col min="42" max="42" width="18.625" bestFit="1" customWidth="1"/>
    <col min="43" max="43" width="15.125" bestFit="1" customWidth="1"/>
  </cols>
  <sheetData>
    <row r="1" spans="1:51" ht="17.25" thickTop="1">
      <c r="A1" s="48" t="s">
        <v>35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50"/>
      <c r="P1" s="51" t="s">
        <v>36</v>
      </c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3"/>
      <c r="AD1" s="54" t="s">
        <v>37</v>
      </c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6"/>
      <c r="AR1" s="12"/>
      <c r="AS1" s="12"/>
      <c r="AT1" s="12"/>
      <c r="AU1" s="12"/>
      <c r="AV1" s="12"/>
      <c r="AW1" s="12"/>
      <c r="AX1" s="12"/>
      <c r="AY1" s="12"/>
    </row>
    <row r="2" spans="1:51">
      <c r="A2" s="13" t="s">
        <v>38</v>
      </c>
      <c r="B2" s="9" t="s">
        <v>39</v>
      </c>
      <c r="C2" s="9" t="s">
        <v>40</v>
      </c>
      <c r="D2" s="9" t="s">
        <v>41</v>
      </c>
      <c r="E2" s="9" t="s">
        <v>42</v>
      </c>
      <c r="F2" s="9" t="s">
        <v>43</v>
      </c>
      <c r="G2" s="9" t="s">
        <v>44</v>
      </c>
      <c r="H2" s="9" t="s">
        <v>45</v>
      </c>
      <c r="I2" s="9" t="s">
        <v>46</v>
      </c>
      <c r="J2" s="9" t="s">
        <v>47</v>
      </c>
      <c r="K2" s="9" t="s">
        <v>48</v>
      </c>
      <c r="L2" s="9" t="s">
        <v>49</v>
      </c>
      <c r="M2" s="9" t="s">
        <v>50</v>
      </c>
      <c r="N2" s="9" t="s">
        <v>51</v>
      </c>
      <c r="O2" s="14" t="s">
        <v>52</v>
      </c>
      <c r="P2" s="13" t="s">
        <v>53</v>
      </c>
      <c r="Q2" s="9" t="s">
        <v>54</v>
      </c>
      <c r="R2" s="9" t="s">
        <v>55</v>
      </c>
      <c r="S2" s="9" t="s">
        <v>56</v>
      </c>
      <c r="T2" s="9" t="s">
        <v>57</v>
      </c>
      <c r="U2" s="9" t="s">
        <v>58</v>
      </c>
      <c r="V2" s="9" t="s">
        <v>59</v>
      </c>
      <c r="W2" s="9" t="s">
        <v>45</v>
      </c>
      <c r="X2" s="9" t="s">
        <v>46</v>
      </c>
      <c r="Y2" s="9" t="s">
        <v>47</v>
      </c>
      <c r="Z2" s="9" t="s">
        <v>48</v>
      </c>
      <c r="AA2" s="9" t="s">
        <v>49</v>
      </c>
      <c r="AB2" s="9" t="s">
        <v>50</v>
      </c>
      <c r="AC2" s="15" t="s">
        <v>51</v>
      </c>
      <c r="AD2" s="13" t="s">
        <v>53</v>
      </c>
      <c r="AE2" s="9" t="s">
        <v>54</v>
      </c>
      <c r="AF2" s="9" t="s">
        <v>55</v>
      </c>
      <c r="AG2" s="9" t="s">
        <v>56</v>
      </c>
      <c r="AH2" s="9" t="s">
        <v>57</v>
      </c>
      <c r="AI2" s="9" t="s">
        <v>58</v>
      </c>
      <c r="AJ2" s="9" t="s">
        <v>59</v>
      </c>
      <c r="AK2" s="9" t="s">
        <v>45</v>
      </c>
      <c r="AL2" s="9" t="s">
        <v>46</v>
      </c>
      <c r="AM2" s="9" t="s">
        <v>47</v>
      </c>
      <c r="AN2" s="9" t="s">
        <v>48</v>
      </c>
      <c r="AO2" s="9" t="s">
        <v>49</v>
      </c>
      <c r="AP2" s="9" t="s">
        <v>50</v>
      </c>
      <c r="AQ2" s="15" t="s">
        <v>51</v>
      </c>
      <c r="AR2" s="12"/>
      <c r="AS2" s="12"/>
      <c r="AT2" s="12"/>
      <c r="AU2" s="12"/>
      <c r="AV2" s="12"/>
      <c r="AW2" s="12"/>
      <c r="AX2" s="12"/>
      <c r="AY2" s="12"/>
    </row>
    <row r="3" spans="1:51">
      <c r="A3" s="27">
        <v>0.2</v>
      </c>
      <c r="B3" s="27">
        <v>0.2</v>
      </c>
      <c r="C3" s="27">
        <v>0.2</v>
      </c>
      <c r="D3" s="27">
        <v>0.1</v>
      </c>
      <c r="E3" s="27">
        <v>0.05</v>
      </c>
      <c r="F3" s="27">
        <v>0.1</v>
      </c>
      <c r="G3" s="27">
        <v>0.06</v>
      </c>
      <c r="H3" s="27">
        <f>SUM(I5/3)</f>
        <v>0.03</v>
      </c>
      <c r="I3" s="27">
        <f>SUM(I5/3)</f>
        <v>0.03</v>
      </c>
      <c r="J3" s="27">
        <f>SUM(I5/3)</f>
        <v>0.03</v>
      </c>
      <c r="K3" s="27">
        <f>I5</f>
        <v>0.09</v>
      </c>
      <c r="L3" s="27">
        <f>I5/2</f>
        <v>4.4999999999999998E-2</v>
      </c>
      <c r="M3" s="27">
        <f>I5/2</f>
        <v>4.4999999999999998E-2</v>
      </c>
      <c r="N3" s="27">
        <f>I5</f>
        <v>0.09</v>
      </c>
      <c r="O3" s="57">
        <f>SUM(A3:G3)+I5</f>
        <v>1.0000000000000002</v>
      </c>
      <c r="P3" s="12">
        <f>SUM(A4:A4)</f>
        <v>150</v>
      </c>
      <c r="Q3" s="12">
        <f>SUM(A4:B4)</f>
        <v>300</v>
      </c>
      <c r="R3" s="12">
        <f>SUM(A4:C4)</f>
        <v>450</v>
      </c>
      <c r="S3" s="12">
        <f>SUM(A4:D4)</f>
        <v>525</v>
      </c>
      <c r="T3" s="12">
        <f>SUM(A4:E4)</f>
        <v>562.5</v>
      </c>
      <c r="U3" s="12">
        <f>SUM(A4:F4)</f>
        <v>637.5</v>
      </c>
      <c r="V3" s="12">
        <f>SUM(A4:G4)</f>
        <v>682.5</v>
      </c>
      <c r="W3" s="12">
        <f>SUM(A4:G4)+I4</f>
        <v>705</v>
      </c>
      <c r="X3" s="12">
        <f>SUM(A4:G4)+(H4+I4)</f>
        <v>727.5</v>
      </c>
      <c r="Y3" s="12">
        <f>SUM(A4:G4)+(H4+I4+J4)</f>
        <v>750</v>
      </c>
      <c r="Z3" s="12">
        <f>SUM(A4:G4)+K4</f>
        <v>750</v>
      </c>
      <c r="AA3" s="12">
        <f>SUM(A4:G4)+L4</f>
        <v>716.25</v>
      </c>
      <c r="AB3" s="12">
        <f>SUM(A4:G4)+(L4+M4)</f>
        <v>750</v>
      </c>
      <c r="AC3" s="16">
        <f>SUM(A4:G4)+N4</f>
        <v>750</v>
      </c>
      <c r="AD3" s="17" t="str">
        <f>_xlfn.CONCAT(0," ~ ",(P3-1))</f>
        <v>0 ~ 149</v>
      </c>
      <c r="AE3" s="12" t="str">
        <f>_xlfn.CONCAT(P3, " ~ ", (Q3-1))</f>
        <v>150 ~ 299</v>
      </c>
      <c r="AF3" s="12" t="str">
        <f t="shared" ref="AF3:AH3" si="0">_xlfn.CONCAT(Q3," ~ ",(R3-1))</f>
        <v>300 ~ 449</v>
      </c>
      <c r="AG3" s="12" t="str">
        <f t="shared" si="0"/>
        <v>450 ~ 524</v>
      </c>
      <c r="AH3" s="12" t="str">
        <f t="shared" si="0"/>
        <v>525 ~ 561.5</v>
      </c>
      <c r="AI3" s="12" t="str">
        <f>_xlfn.CONCAT(T3," ~ ",(U3-0.1))</f>
        <v>562.5 ~ 637.4</v>
      </c>
      <c r="AJ3" s="12" t="str">
        <f>_xlfn.CONCAT(U3," ~ ",(V3-0.1))</f>
        <v>637.5 ~ 682.4</v>
      </c>
      <c r="AK3" s="12" t="str">
        <f>_xlfn.CONCAT(V3," ~ ",(W3-0.1))</f>
        <v>682.5 ~ 704.9</v>
      </c>
      <c r="AL3" s="12" t="str">
        <f>_xlfn.CONCAT(W3," ~ ",(X3-0.1))</f>
        <v>705 ~ 727.4</v>
      </c>
      <c r="AM3" s="12" t="str">
        <f>_xlfn.CONCAT(X3," ~ ",(Y3-0.1))</f>
        <v>727.5 ~ 749.9</v>
      </c>
      <c r="AN3" s="12" t="str">
        <f>_xlfn.CONCAT(V3," ~ ",(Z3-0.1))</f>
        <v>682.5 ~ 749.9</v>
      </c>
      <c r="AO3" s="12" t="str">
        <f>_xlfn.CONCAT(V3," ~ ",(AA3-0.1))</f>
        <v>682.5 ~ 716.15</v>
      </c>
      <c r="AP3" s="12" t="str">
        <f>_xlfn.CONCAT(AA3," ~ ",(AB3-0.1))</f>
        <v>716.25 ~ 749.9</v>
      </c>
      <c r="AQ3" s="16" t="str">
        <f>_xlfn.CONCAT(V3," ~ ",(AC3-0.1))</f>
        <v>682.5 ~ 749.9</v>
      </c>
      <c r="AR3" s="12"/>
      <c r="AS3" s="12"/>
      <c r="AT3" s="12"/>
      <c r="AU3" s="12"/>
      <c r="AV3" s="12"/>
      <c r="AW3" s="12"/>
      <c r="AX3" s="12"/>
      <c r="AY3" s="12"/>
    </row>
    <row r="4" spans="1:51">
      <c r="A4" s="12">
        <f>SUM(750*A3)</f>
        <v>150</v>
      </c>
      <c r="B4" s="12">
        <f>SUM(750*B3)</f>
        <v>150</v>
      </c>
      <c r="C4" s="12">
        <f>SUM(750*C3)</f>
        <v>150</v>
      </c>
      <c r="D4" s="12">
        <f>SUM(750*D3)</f>
        <v>75</v>
      </c>
      <c r="E4" s="12">
        <f>SUM(750*E3)</f>
        <v>37.5</v>
      </c>
      <c r="F4" s="12">
        <f>SUM(750*F3)</f>
        <v>75</v>
      </c>
      <c r="G4" s="12">
        <f>SUM(750*G3)</f>
        <v>45</v>
      </c>
      <c r="H4" s="12">
        <f>SUM(750*H3)</f>
        <v>22.5</v>
      </c>
      <c r="I4" s="12">
        <f>SUM(750*I3)</f>
        <v>22.5</v>
      </c>
      <c r="J4" s="12">
        <f>SUM(750*J3)</f>
        <v>22.5</v>
      </c>
      <c r="K4" s="12">
        <f>SUM(750*K3)</f>
        <v>67.5</v>
      </c>
      <c r="L4" s="12">
        <f>SUM(750*L3)</f>
        <v>33.75</v>
      </c>
      <c r="M4" s="12">
        <f>SUM(750*M3)</f>
        <v>33.75</v>
      </c>
      <c r="N4" s="12">
        <f>SUM(750*N3)</f>
        <v>67.5</v>
      </c>
      <c r="O4" s="58"/>
      <c r="P4" s="12"/>
      <c r="Q4" s="12"/>
      <c r="R4" s="12"/>
      <c r="S4" s="12"/>
      <c r="T4" s="12"/>
      <c r="U4" s="12"/>
      <c r="V4" s="12"/>
      <c r="W4" s="60">
        <f>SUM(A4:G4)+L5</f>
        <v>772.5</v>
      </c>
      <c r="X4" s="60"/>
      <c r="Y4" s="60"/>
      <c r="Z4" s="60"/>
      <c r="AA4" s="60"/>
      <c r="AB4" s="61"/>
      <c r="AC4" s="6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6"/>
      <c r="AR4" s="12"/>
      <c r="AS4" s="12"/>
      <c r="AT4" s="12"/>
      <c r="AU4" s="12"/>
      <c r="AV4" s="12"/>
      <c r="AW4" s="12"/>
      <c r="AX4" s="12"/>
      <c r="AY4" s="12"/>
    </row>
    <row r="5" spans="1:51" ht="17.25" thickBot="1">
      <c r="A5" s="18"/>
      <c r="B5" s="18"/>
      <c r="C5" s="18"/>
      <c r="D5" s="18"/>
      <c r="E5" s="18"/>
      <c r="F5" s="18"/>
      <c r="G5" s="18"/>
      <c r="H5" s="19" t="s">
        <v>60</v>
      </c>
      <c r="I5" s="65">
        <v>0.09</v>
      </c>
      <c r="J5" s="65"/>
      <c r="K5" s="19" t="s">
        <v>61</v>
      </c>
      <c r="L5" s="63">
        <f>SUM(1000*I5)</f>
        <v>90</v>
      </c>
      <c r="M5" s="63"/>
      <c r="N5" s="64"/>
      <c r="O5" s="59"/>
      <c r="P5" s="18"/>
      <c r="Q5" s="18"/>
      <c r="R5" s="18"/>
      <c r="S5" s="18"/>
      <c r="T5" s="18"/>
      <c r="U5" s="18"/>
      <c r="V5" s="18"/>
      <c r="W5" s="21"/>
      <c r="X5" s="21"/>
      <c r="Y5" s="21"/>
      <c r="Z5" s="21"/>
      <c r="AA5" s="21"/>
      <c r="AB5" s="21"/>
      <c r="AC5" s="22"/>
      <c r="AD5" s="23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4"/>
      <c r="AR5" s="12"/>
      <c r="AS5" s="12"/>
      <c r="AT5" s="12"/>
      <c r="AU5" s="12"/>
      <c r="AV5" s="12"/>
      <c r="AW5" s="12"/>
      <c r="AX5" s="12"/>
      <c r="AY5" s="12"/>
    </row>
    <row r="6" spans="1:51" ht="17.25" thickTop="1"/>
    <row r="15" spans="1:51">
      <c r="J15" t="s">
        <v>103</v>
      </c>
      <c r="K15" s="67">
        <v>60</v>
      </c>
      <c r="L15">
        <v>12</v>
      </c>
      <c r="M15">
        <v>0.70599999999999996</v>
      </c>
      <c r="N15" s="66">
        <v>0.7</v>
      </c>
      <c r="O15">
        <v>750</v>
      </c>
      <c r="P15">
        <v>525</v>
      </c>
      <c r="Q15">
        <v>750</v>
      </c>
    </row>
    <row r="16" spans="1:51">
      <c r="J16" t="s">
        <v>101</v>
      </c>
      <c r="K16" s="67">
        <v>10</v>
      </c>
      <c r="L16">
        <v>2</v>
      </c>
      <c r="M16">
        <v>0.11799999999999999</v>
      </c>
      <c r="N16" s="66">
        <v>0.12</v>
      </c>
      <c r="P16">
        <v>90</v>
      </c>
      <c r="Q16">
        <v>225</v>
      </c>
    </row>
    <row r="17" spans="10:17">
      <c r="J17" t="s">
        <v>102</v>
      </c>
      <c r="K17" s="67">
        <v>10</v>
      </c>
      <c r="L17">
        <v>2</v>
      </c>
      <c r="M17">
        <v>0.11799999999999999</v>
      </c>
      <c r="N17" s="66">
        <v>0.12</v>
      </c>
      <c r="P17">
        <v>90</v>
      </c>
      <c r="Q17">
        <v>90</v>
      </c>
    </row>
    <row r="18" spans="10:17">
      <c r="J18" t="s">
        <v>104</v>
      </c>
      <c r="K18" s="67">
        <v>5</v>
      </c>
      <c r="L18">
        <v>1</v>
      </c>
      <c r="M18">
        <v>5.8000000000000003E-2</v>
      </c>
      <c r="N18" s="66">
        <v>0.06</v>
      </c>
      <c r="P18">
        <v>45</v>
      </c>
      <c r="Q18">
        <v>135</v>
      </c>
    </row>
  </sheetData>
  <mergeCells count="6">
    <mergeCell ref="A1:O1"/>
    <mergeCell ref="P1:AC1"/>
    <mergeCell ref="AD1:AQ1"/>
    <mergeCell ref="O3:O5"/>
    <mergeCell ref="W4:AC4"/>
    <mergeCell ref="L5:N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4E3F4-8215-435B-A3F9-65EBBA268141}">
  <sheetPr codeName="Sheet6"/>
  <dimension ref="A1:AS6"/>
  <sheetViews>
    <sheetView workbookViewId="0">
      <selection activeCell="AE3" sqref="AE3"/>
    </sheetView>
  </sheetViews>
  <sheetFormatPr defaultRowHeight="16.5"/>
  <cols>
    <col min="1" max="4" width="4.5" bestFit="1" customWidth="1"/>
    <col min="5" max="5" width="5.5" bestFit="1" customWidth="1"/>
    <col min="6" max="6" width="5.25" bestFit="1" customWidth="1"/>
    <col min="7" max="7" width="5.5" bestFit="1" customWidth="1"/>
    <col min="8" max="11" width="13" bestFit="1" customWidth="1"/>
    <col min="12" max="12" width="16.5" bestFit="1" customWidth="1"/>
    <col min="13" max="13" width="18.625" bestFit="1" customWidth="1"/>
    <col min="14" max="14" width="15.125" bestFit="1" customWidth="1"/>
    <col min="15" max="20" width="10.25" bestFit="1" customWidth="1"/>
    <col min="21" max="21" width="12.375" bestFit="1" customWidth="1"/>
    <col min="22" max="22" width="10.25" bestFit="1" customWidth="1"/>
    <col min="23" max="26" width="13" bestFit="1" customWidth="1"/>
    <col min="27" max="27" width="16.5" bestFit="1" customWidth="1"/>
    <col min="28" max="28" width="18.625" bestFit="1" customWidth="1"/>
    <col min="29" max="29" width="15.125" bestFit="1" customWidth="1"/>
    <col min="30" max="34" width="10.25" bestFit="1" customWidth="1"/>
    <col min="35" max="35" width="12.375" bestFit="1" customWidth="1"/>
    <col min="36" max="36" width="10.25" bestFit="1" customWidth="1"/>
    <col min="37" max="40" width="13" bestFit="1" customWidth="1"/>
    <col min="41" max="41" width="16.5" bestFit="1" customWidth="1"/>
    <col min="42" max="42" width="18.625" bestFit="1" customWidth="1"/>
    <col min="43" max="43" width="15.125" bestFit="1" customWidth="1"/>
  </cols>
  <sheetData>
    <row r="1" spans="1:45" ht="17.25" thickTop="1">
      <c r="A1" s="48" t="s">
        <v>35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50"/>
      <c r="P1" s="51" t="s">
        <v>36</v>
      </c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3"/>
      <c r="AD1" s="54" t="s">
        <v>37</v>
      </c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6"/>
      <c r="AR1" s="12"/>
      <c r="AS1" s="12"/>
    </row>
    <row r="2" spans="1:45">
      <c r="A2" s="13" t="s">
        <v>38</v>
      </c>
      <c r="B2" s="9" t="s">
        <v>39</v>
      </c>
      <c r="C2" s="9" t="s">
        <v>40</v>
      </c>
      <c r="D2" s="9" t="s">
        <v>41</v>
      </c>
      <c r="E2" s="9" t="s">
        <v>42</v>
      </c>
      <c r="F2" s="9" t="s">
        <v>43</v>
      </c>
      <c r="G2" s="9" t="s">
        <v>44</v>
      </c>
      <c r="H2" s="9" t="s">
        <v>45</v>
      </c>
      <c r="I2" s="9" t="s">
        <v>46</v>
      </c>
      <c r="J2" s="9" t="s">
        <v>47</v>
      </c>
      <c r="K2" s="9" t="s">
        <v>48</v>
      </c>
      <c r="L2" s="9" t="s">
        <v>49</v>
      </c>
      <c r="M2" s="9" t="s">
        <v>50</v>
      </c>
      <c r="N2" s="9" t="s">
        <v>51</v>
      </c>
      <c r="O2" s="14" t="s">
        <v>52</v>
      </c>
      <c r="P2" s="13" t="s">
        <v>53</v>
      </c>
      <c r="Q2" s="9" t="s">
        <v>54</v>
      </c>
      <c r="R2" s="9" t="s">
        <v>55</v>
      </c>
      <c r="S2" s="9" t="s">
        <v>56</v>
      </c>
      <c r="T2" s="9" t="s">
        <v>57</v>
      </c>
      <c r="U2" s="9" t="s">
        <v>58</v>
      </c>
      <c r="V2" s="9" t="s">
        <v>59</v>
      </c>
      <c r="W2" s="9" t="s">
        <v>45</v>
      </c>
      <c r="X2" s="9" t="s">
        <v>46</v>
      </c>
      <c r="Y2" s="9" t="s">
        <v>47</v>
      </c>
      <c r="Z2" s="9" t="s">
        <v>48</v>
      </c>
      <c r="AA2" s="9" t="s">
        <v>49</v>
      </c>
      <c r="AB2" s="9" t="s">
        <v>50</v>
      </c>
      <c r="AC2" s="15" t="s">
        <v>51</v>
      </c>
      <c r="AD2" s="13" t="s">
        <v>53</v>
      </c>
      <c r="AE2" s="9" t="s">
        <v>54</v>
      </c>
      <c r="AF2" s="9" t="s">
        <v>55</v>
      </c>
      <c r="AG2" s="9" t="s">
        <v>56</v>
      </c>
      <c r="AH2" s="9" t="s">
        <v>57</v>
      </c>
      <c r="AI2" s="9" t="s">
        <v>58</v>
      </c>
      <c r="AJ2" s="9" t="s">
        <v>59</v>
      </c>
      <c r="AK2" s="9" t="s">
        <v>45</v>
      </c>
      <c r="AL2" s="9" t="s">
        <v>46</v>
      </c>
      <c r="AM2" s="9" t="s">
        <v>47</v>
      </c>
      <c r="AN2" s="9" t="s">
        <v>48</v>
      </c>
      <c r="AO2" s="9" t="s">
        <v>49</v>
      </c>
      <c r="AP2" s="9" t="s">
        <v>50</v>
      </c>
      <c r="AQ2" s="15" t="s">
        <v>51</v>
      </c>
      <c r="AR2" s="12"/>
      <c r="AS2" s="12"/>
    </row>
    <row r="3" spans="1:45">
      <c r="A3" s="12">
        <v>0.2</v>
      </c>
      <c r="B3" s="12">
        <v>0.2</v>
      </c>
      <c r="C3" s="12">
        <v>0.2</v>
      </c>
      <c r="D3" s="12">
        <v>0.1</v>
      </c>
      <c r="E3" s="12">
        <v>0.05</v>
      </c>
      <c r="F3" s="12">
        <v>0.1</v>
      </c>
      <c r="G3" s="12">
        <v>0.06</v>
      </c>
      <c r="H3" s="12">
        <f>SUM(I5/3)</f>
        <v>0.03</v>
      </c>
      <c r="I3" s="12">
        <f>SUM(I5/3)</f>
        <v>0.03</v>
      </c>
      <c r="J3" s="12">
        <f>SUM(I5/3)</f>
        <v>0.03</v>
      </c>
      <c r="K3" s="12">
        <f>I5</f>
        <v>0.09</v>
      </c>
      <c r="L3" s="12">
        <f>I5/2</f>
        <v>4.4999999999999998E-2</v>
      </c>
      <c r="M3" s="12">
        <f>I5/2</f>
        <v>4.4999999999999998E-2</v>
      </c>
      <c r="N3" s="12">
        <f>I5</f>
        <v>0.09</v>
      </c>
      <c r="O3" s="57">
        <f>SUM(A3:G3)+I5</f>
        <v>1.0000000000000002</v>
      </c>
      <c r="P3" s="12">
        <f>SUM(A4:A4)</f>
        <v>200</v>
      </c>
      <c r="Q3" s="12">
        <f>SUM(A4:B4)</f>
        <v>400</v>
      </c>
      <c r="R3" s="12">
        <f>SUM(A4:C4)</f>
        <v>600</v>
      </c>
      <c r="S3" s="12">
        <f>SUM(A4:D4)</f>
        <v>700</v>
      </c>
      <c r="T3" s="12">
        <f>SUM(A4:E4)</f>
        <v>750</v>
      </c>
      <c r="U3" s="12">
        <f>SUM(A4:F4)</f>
        <v>850</v>
      </c>
      <c r="V3" s="12">
        <f>SUM(A4:G4)</f>
        <v>910</v>
      </c>
      <c r="W3" s="12">
        <f>SUM(A4:G4)+I4</f>
        <v>940</v>
      </c>
      <c r="X3" s="12">
        <f>SUM(A4:G4)+(H4+I4)</f>
        <v>970</v>
      </c>
      <c r="Y3" s="12">
        <f>SUM(A4:G4)+(H4+I4+J4)</f>
        <v>1000</v>
      </c>
      <c r="Z3" s="12">
        <f>SUM(A4:G4)+K4</f>
        <v>1000</v>
      </c>
      <c r="AA3" s="12">
        <f>SUM(A4:G4)+L4</f>
        <v>955</v>
      </c>
      <c r="AB3" s="12">
        <f>SUM(A4:G4)+(L4+M4)</f>
        <v>1000</v>
      </c>
      <c r="AC3" s="16">
        <f>SUM(A4:G4)+N4</f>
        <v>1000</v>
      </c>
      <c r="AD3" s="17" t="str">
        <f>_xlfn.CONCAT(0," ~ ",(P3-1))</f>
        <v>0 ~ 199</v>
      </c>
      <c r="AE3" s="12" t="str">
        <f>_xlfn.CONCAT(P3, " ~ ", (Q3-1))</f>
        <v>200 ~ 399</v>
      </c>
      <c r="AF3" s="12" t="str">
        <f t="shared" ref="AF3:AM3" si="0">_xlfn.CONCAT(Q3," ~ ",(R3-1))</f>
        <v>400 ~ 599</v>
      </c>
      <c r="AG3" s="12" t="str">
        <f t="shared" si="0"/>
        <v>600 ~ 699</v>
      </c>
      <c r="AH3" s="12" t="str">
        <f t="shared" si="0"/>
        <v>700 ~ 749</v>
      </c>
      <c r="AI3" s="12" t="str">
        <f t="shared" si="0"/>
        <v>750 ~ 849</v>
      </c>
      <c r="AJ3" s="12" t="str">
        <f t="shared" si="0"/>
        <v>850 ~ 909</v>
      </c>
      <c r="AK3" s="12" t="str">
        <f t="shared" si="0"/>
        <v>910 ~ 939</v>
      </c>
      <c r="AL3" s="12" t="str">
        <f t="shared" si="0"/>
        <v>940 ~ 969</v>
      </c>
      <c r="AM3" s="12" t="str">
        <f t="shared" si="0"/>
        <v>970 ~ 999</v>
      </c>
      <c r="AN3" s="12" t="str">
        <f>_xlfn.CONCAT(V3," ~ ",(Z3-1))</f>
        <v>910 ~ 999</v>
      </c>
      <c r="AO3" s="12" t="str">
        <f>_xlfn.CONCAT(V3," ~ ",(AA3-1))</f>
        <v>910 ~ 954</v>
      </c>
      <c r="AP3" s="12" t="str">
        <f>_xlfn.CONCAT(AA3," ~ ",(AB3-1))</f>
        <v>955 ~ 999</v>
      </c>
      <c r="AQ3" s="16" t="str">
        <f>_xlfn.CONCAT(V3," ~ ",(AC3-1))</f>
        <v>910 ~ 999</v>
      </c>
      <c r="AR3" s="12"/>
      <c r="AS3" s="12"/>
    </row>
    <row r="4" spans="1:45">
      <c r="A4" s="12">
        <f t="shared" ref="A4:N4" si="1">SUM(1000*A3)</f>
        <v>200</v>
      </c>
      <c r="B4" s="12">
        <f t="shared" si="1"/>
        <v>200</v>
      </c>
      <c r="C4" s="12">
        <f t="shared" si="1"/>
        <v>200</v>
      </c>
      <c r="D4" s="12">
        <f t="shared" si="1"/>
        <v>100</v>
      </c>
      <c r="E4" s="12">
        <f t="shared" si="1"/>
        <v>50</v>
      </c>
      <c r="F4" s="12">
        <f t="shared" si="1"/>
        <v>100</v>
      </c>
      <c r="G4" s="12">
        <f t="shared" si="1"/>
        <v>60</v>
      </c>
      <c r="H4" s="12">
        <f t="shared" si="1"/>
        <v>30</v>
      </c>
      <c r="I4" s="12">
        <f t="shared" si="1"/>
        <v>30</v>
      </c>
      <c r="J4" s="12">
        <f t="shared" si="1"/>
        <v>30</v>
      </c>
      <c r="K4" s="12">
        <f t="shared" si="1"/>
        <v>90</v>
      </c>
      <c r="L4" s="12">
        <f t="shared" si="1"/>
        <v>45</v>
      </c>
      <c r="M4" s="12">
        <f t="shared" si="1"/>
        <v>45</v>
      </c>
      <c r="N4" s="12">
        <f t="shared" si="1"/>
        <v>90</v>
      </c>
      <c r="O4" s="58"/>
      <c r="P4" s="12"/>
      <c r="Q4" s="12"/>
      <c r="R4" s="12"/>
      <c r="S4" s="12"/>
      <c r="T4" s="12"/>
      <c r="U4" s="12"/>
      <c r="V4" s="12"/>
      <c r="W4" s="60">
        <f>SUM(A4:G4)+L5</f>
        <v>1000</v>
      </c>
      <c r="X4" s="60"/>
      <c r="Y4" s="60"/>
      <c r="Z4" s="60"/>
      <c r="AA4" s="60"/>
      <c r="AB4" s="61"/>
      <c r="AC4" s="6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6"/>
      <c r="AR4" s="12"/>
      <c r="AS4" s="12"/>
    </row>
    <row r="5" spans="1:45" ht="17.25" thickBot="1">
      <c r="A5" s="18"/>
      <c r="B5" s="18"/>
      <c r="C5" s="18"/>
      <c r="D5" s="18"/>
      <c r="E5" s="18"/>
      <c r="F5" s="18"/>
      <c r="G5" s="18"/>
      <c r="H5" s="19" t="s">
        <v>60</v>
      </c>
      <c r="I5" s="20">
        <v>0.09</v>
      </c>
      <c r="J5" s="20"/>
      <c r="K5" s="19" t="s">
        <v>61</v>
      </c>
      <c r="L5" s="63">
        <f>SUM(1000*I5)</f>
        <v>90</v>
      </c>
      <c r="M5" s="63"/>
      <c r="N5" s="64"/>
      <c r="O5" s="59"/>
      <c r="P5" s="18"/>
      <c r="Q5" s="18"/>
      <c r="R5" s="18"/>
      <c r="S5" s="18"/>
      <c r="T5" s="18"/>
      <c r="U5" s="18"/>
      <c r="V5" s="18"/>
      <c r="W5" s="21"/>
      <c r="X5" s="21"/>
      <c r="Y5" s="21"/>
      <c r="Z5" s="21"/>
      <c r="AA5" s="21"/>
      <c r="AB5" s="21"/>
      <c r="AC5" s="22"/>
      <c r="AD5" s="23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4"/>
      <c r="AR5" s="12"/>
      <c r="AS5" s="12"/>
    </row>
    <row r="6" spans="1:45" ht="17.25" thickTop="1"/>
  </sheetData>
  <mergeCells count="6">
    <mergeCell ref="A1:O1"/>
    <mergeCell ref="P1:AC1"/>
    <mergeCell ref="AD1:AQ1"/>
    <mergeCell ref="O3:O5"/>
    <mergeCell ref="W4:AC4"/>
    <mergeCell ref="L5:N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5970F-63EB-4064-98D4-120025395382}">
  <sheetPr codeName="Sheet4"/>
  <dimension ref="A2:B7"/>
  <sheetViews>
    <sheetView workbookViewId="0">
      <selection activeCell="E19" sqref="E19"/>
    </sheetView>
  </sheetViews>
  <sheetFormatPr defaultRowHeight="16.5"/>
  <cols>
    <col min="1" max="1" width="12.375" bestFit="1" customWidth="1"/>
    <col min="2" max="2" width="35.625" bestFit="1" customWidth="1"/>
  </cols>
  <sheetData>
    <row r="2" spans="1:2">
      <c r="A2" t="s">
        <v>32</v>
      </c>
    </row>
    <row r="3" spans="1:2">
      <c r="A3" t="s">
        <v>68</v>
      </c>
    </row>
    <row r="4" spans="1:2">
      <c r="A4" t="s">
        <v>69</v>
      </c>
    </row>
    <row r="5" spans="1:2">
      <c r="A5" t="s">
        <v>70</v>
      </c>
    </row>
    <row r="6" spans="1:2">
      <c r="A6" t="s">
        <v>71</v>
      </c>
    </row>
    <row r="7" spans="1:2">
      <c r="A7" t="s">
        <v>15</v>
      </c>
      <c r="B7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BC72-5611-465B-B693-BC240607D68E}">
  <sheetPr codeName="Sheet3"/>
  <dimension ref="A1:AJ38"/>
  <sheetViews>
    <sheetView zoomScale="70" zoomScaleNormal="70" workbookViewId="0">
      <selection activeCell="M2" sqref="M2:Q10"/>
    </sheetView>
  </sheetViews>
  <sheetFormatPr defaultColWidth="3.625" defaultRowHeight="28.5" customHeight="1"/>
  <cols>
    <col min="1" max="1" width="28" style="4" bestFit="1" customWidth="1"/>
    <col min="2" max="2" width="14.125" style="4" customWidth="1"/>
    <col min="3" max="12" width="9.125" style="4" customWidth="1"/>
    <col min="13" max="14" width="10.875" style="4" customWidth="1"/>
    <col min="15" max="15" width="15.125" style="4" bestFit="1" customWidth="1"/>
    <col min="16" max="57" width="10.875" style="4" customWidth="1"/>
    <col min="58" max="16384" width="3.625" style="4"/>
  </cols>
  <sheetData>
    <row r="1" spans="1:36" ht="28.5" customHeight="1">
      <c r="A1" s="8" t="s">
        <v>23</v>
      </c>
      <c r="O1" s="4" t="s">
        <v>34</v>
      </c>
    </row>
    <row r="2" spans="1:36" ht="28.5" customHeight="1">
      <c r="A2" s="8" t="s">
        <v>14</v>
      </c>
      <c r="O2" s="4" t="str">
        <f>_xlfn.CONCAT(32-O4-O5-O6-O7-O8-O9-O10, "타일")</f>
        <v>6타일</v>
      </c>
    </row>
    <row r="3" spans="1:36" ht="28.5" customHeight="1">
      <c r="A3" s="8" t="s">
        <v>13</v>
      </c>
      <c r="B3" s="5"/>
      <c r="C3">
        <v>3</v>
      </c>
      <c r="D3">
        <v>1</v>
      </c>
      <c r="O3" s="4" t="s">
        <v>83</v>
      </c>
    </row>
    <row r="4" spans="1:36" ht="38.25" customHeight="1">
      <c r="C4" s="10"/>
      <c r="D4" s="10"/>
      <c r="E4" s="10"/>
      <c r="F4" s="10"/>
      <c r="G4" s="33" t="s">
        <v>18</v>
      </c>
      <c r="H4" s="10"/>
      <c r="I4" s="10"/>
      <c r="J4" s="10"/>
      <c r="K4" s="10"/>
      <c r="L4" s="5"/>
      <c r="M4" s="5">
        <v>1</v>
      </c>
      <c r="N4" s="5" t="s">
        <v>84</v>
      </c>
      <c r="O4">
        <v>5</v>
      </c>
      <c r="P4" s="5">
        <v>5</v>
      </c>
      <c r="Q4" s="5">
        <f>SUM(O4-P4)</f>
        <v>0</v>
      </c>
      <c r="R4" s="5"/>
      <c r="S4" s="5"/>
      <c r="T4" s="5"/>
      <c r="U4" s="5"/>
      <c r="V4" s="5"/>
      <c r="W4" s="5"/>
      <c r="X4" s="11"/>
      <c r="Y4" s="11"/>
      <c r="Z4" s="11"/>
      <c r="AA4" s="11"/>
      <c r="AB4" s="11"/>
      <c r="AC4" s="11"/>
      <c r="AD4" s="11"/>
      <c r="AE4" s="11"/>
      <c r="AF4" s="11"/>
      <c r="AG4"/>
      <c r="AH4"/>
      <c r="AI4"/>
      <c r="AJ4"/>
    </row>
    <row r="5" spans="1:36" ht="38.25" customHeight="1">
      <c r="C5" s="10"/>
      <c r="D5" s="10"/>
      <c r="E5" s="10"/>
      <c r="F5" s="10"/>
      <c r="G5" s="34" t="s">
        <v>88</v>
      </c>
      <c r="H5" s="10"/>
      <c r="I5" s="10"/>
      <c r="J5" s="10"/>
      <c r="K5" s="10"/>
      <c r="L5" s="5"/>
      <c r="M5" s="5">
        <v>2</v>
      </c>
      <c r="N5" s="5" t="s">
        <v>85</v>
      </c>
      <c r="O5">
        <v>3</v>
      </c>
      <c r="P5" s="5">
        <v>3</v>
      </c>
      <c r="Q5" s="5">
        <f>SUM(O5-P5)</f>
        <v>0</v>
      </c>
      <c r="R5" s="5"/>
      <c r="S5" s="5"/>
      <c r="T5" s="5"/>
      <c r="U5" s="5"/>
      <c r="V5" s="5"/>
      <c r="W5" s="5"/>
      <c r="X5" s="11"/>
      <c r="Y5" s="11"/>
      <c r="Z5" s="11"/>
      <c r="AA5" s="11"/>
      <c r="AB5" s="11"/>
      <c r="AC5" s="11"/>
      <c r="AD5" s="11"/>
      <c r="AE5" s="11"/>
      <c r="AF5" s="11"/>
      <c r="AG5"/>
      <c r="AH5"/>
      <c r="AI5"/>
      <c r="AJ5"/>
    </row>
    <row r="6" spans="1:36" ht="38.25" customHeight="1">
      <c r="C6" s="10"/>
      <c r="D6" s="10"/>
      <c r="E6" s="10"/>
      <c r="F6" s="10"/>
      <c r="G6" s="38" t="s">
        <v>93</v>
      </c>
      <c r="H6" s="10"/>
      <c r="I6" s="10"/>
      <c r="J6" s="10"/>
      <c r="K6" s="10"/>
      <c r="L6" s="5"/>
      <c r="M6" s="5">
        <v>3</v>
      </c>
      <c r="N6" s="11" t="s">
        <v>86</v>
      </c>
      <c r="O6">
        <v>2</v>
      </c>
      <c r="P6" s="5">
        <v>2</v>
      </c>
      <c r="Q6" s="5">
        <f t="shared" ref="Q6:Q10" si="0">SUM(O6-P6)</f>
        <v>0</v>
      </c>
      <c r="R6" s="5"/>
      <c r="S6" s="5"/>
      <c r="T6" s="5"/>
      <c r="U6" s="5"/>
      <c r="V6" s="5"/>
      <c r="W6" s="5"/>
      <c r="X6" s="11"/>
      <c r="Y6" s="11"/>
      <c r="Z6" s="11"/>
      <c r="AA6" s="11"/>
      <c r="AB6" s="11"/>
      <c r="AC6" s="11"/>
      <c r="AD6" s="11"/>
      <c r="AE6" s="11"/>
      <c r="AF6" s="11"/>
      <c r="AG6"/>
      <c r="AH6"/>
      <c r="AI6"/>
      <c r="AJ6"/>
    </row>
    <row r="7" spans="1:36" ht="38.25" customHeight="1">
      <c r="C7" s="10"/>
      <c r="D7" s="10"/>
      <c r="E7" s="10"/>
      <c r="F7" s="10"/>
      <c r="G7" s="39" t="s">
        <v>81</v>
      </c>
      <c r="H7" s="36" t="s">
        <v>90</v>
      </c>
      <c r="I7" s="35" t="s">
        <v>82</v>
      </c>
      <c r="J7" s="34" t="s">
        <v>88</v>
      </c>
      <c r="K7" s="10"/>
      <c r="L7" s="5"/>
      <c r="M7" s="5">
        <v>4</v>
      </c>
      <c r="N7" s="5" t="s">
        <v>87</v>
      </c>
      <c r="O7">
        <v>2</v>
      </c>
      <c r="P7" s="5">
        <v>2</v>
      </c>
      <c r="Q7" s="5">
        <f t="shared" si="0"/>
        <v>0</v>
      </c>
      <c r="R7" s="5"/>
      <c r="S7" s="5"/>
      <c r="T7" s="5"/>
      <c r="U7" s="5"/>
      <c r="V7" s="5"/>
      <c r="W7" s="5"/>
      <c r="X7" s="11"/>
      <c r="Y7" s="11"/>
      <c r="Z7" s="11"/>
      <c r="AA7" s="11"/>
      <c r="AB7" s="11"/>
      <c r="AC7" s="11"/>
      <c r="AD7" s="11"/>
      <c r="AE7" s="11"/>
      <c r="AF7" s="11"/>
      <c r="AG7"/>
      <c r="AH7"/>
      <c r="AI7"/>
      <c r="AJ7"/>
    </row>
    <row r="8" spans="1:36" ht="38.25" customHeight="1">
      <c r="C8" s="10"/>
      <c r="D8" s="10"/>
      <c r="E8" s="10"/>
      <c r="F8" s="10"/>
      <c r="G8" s="10"/>
      <c r="H8" s="10"/>
      <c r="I8" s="10"/>
      <c r="J8" s="38" t="s">
        <v>93</v>
      </c>
      <c r="K8" s="10"/>
      <c r="L8" s="5"/>
      <c r="M8" s="5">
        <v>5</v>
      </c>
      <c r="N8" s="5" t="s">
        <v>80</v>
      </c>
      <c r="O8">
        <v>5</v>
      </c>
      <c r="P8" s="5">
        <v>5</v>
      </c>
      <c r="Q8" s="5">
        <f t="shared" si="0"/>
        <v>0</v>
      </c>
      <c r="R8" s="5"/>
      <c r="S8" s="5"/>
      <c r="T8" s="5"/>
      <c r="U8" s="5"/>
      <c r="V8" s="5"/>
      <c r="W8" s="5"/>
      <c r="X8" s="11"/>
      <c r="Y8" s="11"/>
      <c r="Z8" s="11"/>
      <c r="AA8" s="11"/>
      <c r="AB8" s="11"/>
      <c r="AC8" s="11"/>
      <c r="AD8" s="11"/>
      <c r="AE8" s="11"/>
      <c r="AF8" s="11"/>
      <c r="AG8"/>
      <c r="AH8"/>
      <c r="AI8"/>
      <c r="AJ8"/>
    </row>
    <row r="9" spans="1:36" ht="38.25" customHeight="1">
      <c r="C9" s="10"/>
      <c r="D9" s="10"/>
      <c r="E9" s="10"/>
      <c r="F9" s="10"/>
      <c r="G9" s="10"/>
      <c r="H9" s="10"/>
      <c r="I9" s="10"/>
      <c r="J9" s="7" t="s">
        <v>12</v>
      </c>
      <c r="K9" s="10"/>
      <c r="L9" s="5"/>
      <c r="M9" s="5">
        <v>6</v>
      </c>
      <c r="N9" s="5" t="s">
        <v>81</v>
      </c>
      <c r="O9">
        <v>4</v>
      </c>
      <c r="P9" s="5">
        <v>4</v>
      </c>
      <c r="Q9" s="5">
        <f t="shared" si="0"/>
        <v>0</v>
      </c>
      <c r="R9" s="5"/>
      <c r="S9" s="5"/>
      <c r="T9" s="5"/>
      <c r="U9" s="5"/>
      <c r="V9" s="5"/>
      <c r="W9" s="5"/>
      <c r="X9" s="11"/>
      <c r="Y9" s="11"/>
      <c r="Z9" s="11"/>
      <c r="AA9" s="11"/>
      <c r="AB9" s="11"/>
      <c r="AC9" s="11"/>
      <c r="AD9" s="11"/>
      <c r="AE9" s="11"/>
      <c r="AF9" s="11"/>
      <c r="AG9"/>
      <c r="AH9"/>
      <c r="AI9"/>
      <c r="AJ9"/>
    </row>
    <row r="10" spans="1:36" ht="38.25" customHeight="1">
      <c r="C10" s="10"/>
      <c r="D10" s="10"/>
      <c r="E10" s="10"/>
      <c r="F10" s="37" t="s">
        <v>92</v>
      </c>
      <c r="G10" s="7" t="s">
        <v>16</v>
      </c>
      <c r="H10" s="6" t="s">
        <v>89</v>
      </c>
      <c r="I10" s="7" t="s">
        <v>16</v>
      </c>
      <c r="J10" s="39" t="s">
        <v>94</v>
      </c>
      <c r="K10" s="10"/>
      <c r="L10" s="5"/>
      <c r="M10" s="5">
        <v>7</v>
      </c>
      <c r="N10" s="5" t="s">
        <v>82</v>
      </c>
      <c r="O10">
        <v>5</v>
      </c>
      <c r="P10" s="5">
        <v>5</v>
      </c>
      <c r="Q10" s="5">
        <f t="shared" si="0"/>
        <v>0</v>
      </c>
      <c r="R10" s="5"/>
      <c r="S10" s="5"/>
      <c r="T10" s="5"/>
      <c r="U10" s="5"/>
      <c r="V10" s="5"/>
      <c r="W10" s="5"/>
      <c r="X10" s="11"/>
      <c r="Y10" s="11"/>
      <c r="Z10" s="11"/>
      <c r="AA10" s="11"/>
      <c r="AB10" s="11"/>
      <c r="AC10" s="11"/>
      <c r="AD10" s="11"/>
      <c r="AE10" s="11"/>
      <c r="AF10" s="11"/>
      <c r="AG10"/>
      <c r="AH10"/>
      <c r="AI10"/>
      <c r="AJ10"/>
    </row>
    <row r="11" spans="1:36" ht="38.25" customHeight="1">
      <c r="C11" s="10"/>
      <c r="D11" s="10"/>
      <c r="E11" s="10"/>
      <c r="F11" s="36" t="s">
        <v>90</v>
      </c>
      <c r="G11" s="10"/>
      <c r="H11" s="10"/>
      <c r="I11" s="10"/>
      <c r="J11" s="10"/>
      <c r="K11" s="10"/>
      <c r="L11" s="5"/>
      <c r="M11" s="5"/>
      <c r="N11" s="5"/>
      <c r="O11"/>
      <c r="P11" s="5"/>
      <c r="Q11" s="5"/>
      <c r="R11" s="5"/>
      <c r="S11" s="5"/>
      <c r="T11" s="5"/>
      <c r="U11" s="5"/>
      <c r="V11" s="5"/>
      <c r="W11" s="5"/>
      <c r="X11" s="11"/>
      <c r="Y11" s="11"/>
      <c r="Z11" s="11"/>
      <c r="AA11" s="11"/>
      <c r="AB11" s="11"/>
      <c r="AC11" s="11"/>
      <c r="AD11" s="11"/>
      <c r="AE11" s="11"/>
      <c r="AF11" s="11"/>
      <c r="AG11"/>
      <c r="AH11"/>
      <c r="AI11"/>
      <c r="AJ11"/>
    </row>
    <row r="12" spans="1:36" ht="38.25" customHeight="1">
      <c r="C12" s="10"/>
      <c r="D12" s="10"/>
      <c r="E12" s="35" t="s">
        <v>91</v>
      </c>
      <c r="F12" s="34" t="s">
        <v>78</v>
      </c>
      <c r="G12" s="10"/>
      <c r="H12" s="10"/>
      <c r="I12" s="10"/>
      <c r="J12" s="10"/>
      <c r="K12" s="10"/>
      <c r="L12" s="5"/>
      <c r="M12" s="5"/>
      <c r="N12" s="5"/>
      <c r="O12"/>
      <c r="P12" s="5"/>
      <c r="Q12" s="5"/>
      <c r="R12" s="5"/>
      <c r="S12" s="5"/>
      <c r="T12" s="5"/>
      <c r="U12" s="5"/>
      <c r="V12" s="5"/>
      <c r="W12" s="5"/>
      <c r="X12" s="11"/>
      <c r="Y12" s="11"/>
      <c r="Z12" s="11"/>
      <c r="AA12" s="11"/>
      <c r="AB12" s="11"/>
      <c r="AC12" s="11"/>
      <c r="AD12" s="11"/>
      <c r="AE12" s="11"/>
      <c r="AF12" s="11"/>
      <c r="AG12"/>
      <c r="AH12"/>
      <c r="AI12"/>
      <c r="AJ12"/>
    </row>
    <row r="13" spans="1:36" ht="38.25" customHeight="1">
      <c r="C13" s="10"/>
      <c r="D13" s="10"/>
      <c r="E13" s="6" t="s">
        <v>80</v>
      </c>
      <c r="F13" s="10"/>
      <c r="G13" s="10"/>
      <c r="H13" s="10"/>
      <c r="I13" s="10"/>
      <c r="J13" s="10"/>
      <c r="K13" s="10"/>
      <c r="L13" s="5"/>
      <c r="M13" s="5"/>
      <c r="N13" s="5"/>
      <c r="O13"/>
      <c r="P13" s="5"/>
      <c r="Q13" s="5"/>
      <c r="R13" s="5"/>
      <c r="S13" s="5"/>
      <c r="T13" s="5"/>
      <c r="U13" s="5"/>
      <c r="V13" s="5"/>
      <c r="W13" s="5"/>
      <c r="X13" s="11"/>
      <c r="Y13" s="11"/>
      <c r="Z13" s="11"/>
      <c r="AA13" s="11"/>
      <c r="AB13" s="11"/>
      <c r="AC13" s="11"/>
      <c r="AD13" s="11"/>
      <c r="AE13" s="11"/>
      <c r="AF13" s="11"/>
      <c r="AG13"/>
      <c r="AH13"/>
      <c r="AI13"/>
      <c r="AJ13"/>
    </row>
    <row r="14" spans="1:36" ht="38.25" customHeight="1">
      <c r="C14" s="10"/>
      <c r="D14" s="10"/>
      <c r="E14" s="39" t="s">
        <v>81</v>
      </c>
      <c r="F14" s="10"/>
      <c r="G14" s="10"/>
      <c r="H14" s="10"/>
      <c r="I14" s="10"/>
      <c r="J14" s="10"/>
      <c r="K14" s="10"/>
      <c r="L14" s="5"/>
      <c r="M14" s="5"/>
      <c r="N14" s="5"/>
      <c r="O14"/>
      <c r="P14" s="5"/>
      <c r="Q14" s="5"/>
      <c r="R14" s="5"/>
      <c r="S14" s="5"/>
      <c r="T14" s="5"/>
      <c r="U14" s="5"/>
      <c r="V14" s="5"/>
      <c r="W14" s="5"/>
      <c r="X14" s="11"/>
      <c r="Y14" s="11"/>
      <c r="Z14" s="11"/>
      <c r="AA14" s="11"/>
      <c r="AB14" s="11"/>
      <c r="AC14" s="11"/>
      <c r="AD14" s="11"/>
      <c r="AE14" s="11"/>
      <c r="AF14" s="11"/>
      <c r="AG14"/>
      <c r="AH14"/>
      <c r="AI14"/>
      <c r="AJ14"/>
    </row>
    <row r="15" spans="1:36" ht="38.25" customHeight="1">
      <c r="C15" s="10"/>
      <c r="D15" s="10"/>
      <c r="E15" s="7" t="s">
        <v>12</v>
      </c>
      <c r="F15" s="36" t="s">
        <v>90</v>
      </c>
      <c r="G15" s="35" t="s">
        <v>82</v>
      </c>
      <c r="H15" s="6" t="s">
        <v>89</v>
      </c>
      <c r="I15" s="7" t="s">
        <v>12</v>
      </c>
      <c r="J15" s="10"/>
      <c r="K15" s="10"/>
      <c r="L15" s="5"/>
      <c r="M15" s="5"/>
      <c r="N15"/>
      <c r="O15"/>
      <c r="P15"/>
      <c r="Q15"/>
      <c r="R15"/>
      <c r="S15"/>
      <c r="T15"/>
      <c r="U15"/>
      <c r="V15"/>
      <c r="W15"/>
      <c r="X15" s="11"/>
      <c r="Y15" s="11"/>
      <c r="Z15" s="11"/>
      <c r="AA15" s="11"/>
      <c r="AB15" s="11"/>
      <c r="AC15" s="11"/>
      <c r="AD15" s="11"/>
      <c r="AE15" s="11"/>
      <c r="AF15" s="11"/>
      <c r="AG15"/>
      <c r="AH15"/>
      <c r="AI15"/>
      <c r="AJ15"/>
    </row>
    <row r="16" spans="1:36" ht="38.25" customHeight="1">
      <c r="C16" s="10"/>
      <c r="D16" s="10"/>
      <c r="E16" s="10"/>
      <c r="F16" s="10"/>
      <c r="G16" s="10"/>
      <c r="H16" s="10"/>
      <c r="I16" s="39" t="s">
        <v>81</v>
      </c>
      <c r="J16" s="10"/>
      <c r="K16" s="10"/>
      <c r="L16" s="5"/>
      <c r="M16" s="5"/>
      <c r="N16"/>
      <c r="O16"/>
      <c r="P16"/>
      <c r="Q16"/>
      <c r="R16"/>
      <c r="S16"/>
      <c r="T16"/>
      <c r="U16"/>
      <c r="V16"/>
      <c r="W16"/>
      <c r="X16" s="11"/>
      <c r="Y16" s="11"/>
      <c r="Z16" s="11"/>
      <c r="AA16" s="11"/>
      <c r="AB16" s="11"/>
      <c r="AC16" s="11"/>
      <c r="AD16" s="11"/>
      <c r="AE16" s="11"/>
      <c r="AF16" s="11"/>
      <c r="AG16"/>
      <c r="AH16"/>
      <c r="AI16"/>
      <c r="AJ16"/>
    </row>
    <row r="17" spans="3:36" ht="38.25" customHeight="1">
      <c r="C17" s="10"/>
      <c r="D17" s="10"/>
      <c r="E17" s="10"/>
      <c r="F17" s="10"/>
      <c r="G17" s="10"/>
      <c r="H17" s="10"/>
      <c r="I17" s="7" t="s">
        <v>12</v>
      </c>
      <c r="J17" s="10"/>
      <c r="K17" s="10"/>
      <c r="L17" s="5"/>
      <c r="M17" s="5"/>
      <c r="N17"/>
      <c r="O17"/>
      <c r="P17"/>
      <c r="Q17"/>
      <c r="R17"/>
      <c r="S17"/>
      <c r="T17"/>
      <c r="U17"/>
      <c r="V17"/>
      <c r="W17"/>
      <c r="X17" s="11"/>
      <c r="Y17" s="11"/>
      <c r="Z17" s="11"/>
      <c r="AA17" s="11"/>
      <c r="AB17" s="11"/>
      <c r="AC17" s="11"/>
      <c r="AD17" s="11"/>
      <c r="AE17" s="11"/>
      <c r="AF17" s="11"/>
      <c r="AG17"/>
      <c r="AH17"/>
      <c r="AI17"/>
      <c r="AJ17"/>
    </row>
    <row r="18" spans="3:36" ht="38.25" customHeight="1">
      <c r="C18" s="10"/>
      <c r="D18" s="10"/>
      <c r="E18" s="10"/>
      <c r="F18" s="10"/>
      <c r="G18" s="10"/>
      <c r="H18" s="10"/>
      <c r="I18" s="35" t="s">
        <v>82</v>
      </c>
      <c r="J18" s="10"/>
      <c r="K18" s="10"/>
      <c r="L18" s="5"/>
      <c r="M18" s="5"/>
      <c r="N18"/>
      <c r="O18"/>
      <c r="P18"/>
      <c r="Q18"/>
      <c r="R18"/>
      <c r="S18"/>
      <c r="T18"/>
      <c r="U18"/>
      <c r="V18"/>
      <c r="W18"/>
      <c r="X18" s="11"/>
      <c r="Y18" s="11"/>
      <c r="Z18" s="11"/>
      <c r="AA18" s="11"/>
      <c r="AB18" s="11"/>
      <c r="AC18" s="11"/>
      <c r="AD18" s="11"/>
      <c r="AE18" s="11"/>
      <c r="AF18" s="11"/>
      <c r="AG18"/>
      <c r="AH18"/>
      <c r="AI18"/>
      <c r="AJ18"/>
    </row>
    <row r="19" spans="3:36" ht="38.25" customHeight="1">
      <c r="C19" s="10"/>
      <c r="D19" s="10"/>
      <c r="E19" s="10"/>
      <c r="F19" s="10"/>
      <c r="G19" s="35" t="s">
        <v>82</v>
      </c>
      <c r="H19" s="6" t="s">
        <v>89</v>
      </c>
      <c r="I19" s="36" t="s">
        <v>90</v>
      </c>
      <c r="J19" s="10"/>
      <c r="K19" s="10"/>
      <c r="L19" s="5"/>
      <c r="M19" s="5"/>
      <c r="N19"/>
      <c r="O19"/>
      <c r="P19"/>
      <c r="Q19"/>
      <c r="R19"/>
      <c r="S19"/>
      <c r="T19"/>
      <c r="U19"/>
      <c r="V19"/>
      <c r="W19"/>
      <c r="X19" s="11"/>
      <c r="Y19" s="11"/>
      <c r="Z19" s="11"/>
      <c r="AA19" s="11"/>
      <c r="AB19" s="11"/>
      <c r="AC19" s="11"/>
      <c r="AD19" s="11"/>
      <c r="AE19" s="11"/>
      <c r="AF19" s="11"/>
      <c r="AG19"/>
      <c r="AH19"/>
      <c r="AI19"/>
      <c r="AJ19"/>
    </row>
    <row r="20" spans="3:36" ht="38.25" customHeight="1">
      <c r="C20" s="10"/>
      <c r="D20" s="10"/>
      <c r="E20" s="10"/>
      <c r="F20" s="10"/>
      <c r="G20" s="37" t="s">
        <v>92</v>
      </c>
      <c r="H20" s="10"/>
      <c r="I20" s="10"/>
      <c r="J20" s="10"/>
      <c r="K20" s="10"/>
      <c r="L20" s="5"/>
      <c r="M20" s="5"/>
      <c r="N20"/>
      <c r="O20"/>
      <c r="P20"/>
      <c r="Q20"/>
      <c r="R20"/>
      <c r="S20"/>
      <c r="T20"/>
      <c r="U20"/>
      <c r="V20"/>
      <c r="W20"/>
      <c r="X20" s="11"/>
      <c r="Y20" s="11"/>
      <c r="Z20" s="11"/>
      <c r="AA20" s="11"/>
      <c r="AB20" s="11"/>
      <c r="AC20" s="11"/>
      <c r="AD20" s="11"/>
      <c r="AE20" s="11"/>
      <c r="AF20" s="11"/>
      <c r="AG20"/>
      <c r="AH20"/>
      <c r="AI20"/>
      <c r="AJ20"/>
    </row>
    <row r="21" spans="3:36" ht="38.25" customHeight="1">
      <c r="C21" s="10"/>
      <c r="D21" s="10"/>
      <c r="E21" s="10"/>
      <c r="F21" s="10"/>
      <c r="G21" s="36" t="s">
        <v>32</v>
      </c>
      <c r="H21" s="10"/>
      <c r="I21" s="10"/>
      <c r="J21" s="10"/>
      <c r="K21" s="10"/>
      <c r="L21" s="5"/>
      <c r="M21" s="5"/>
      <c r="N21"/>
      <c r="O21"/>
      <c r="P21"/>
      <c r="Q21"/>
      <c r="R21"/>
      <c r="S21"/>
      <c r="T21"/>
      <c r="U21"/>
      <c r="V21"/>
      <c r="W21"/>
      <c r="X21" s="11"/>
      <c r="Y21" s="11"/>
      <c r="Z21" s="11"/>
      <c r="AA21" s="11"/>
      <c r="AB21" s="11"/>
      <c r="AC21" s="11"/>
      <c r="AD21" s="11"/>
      <c r="AE21" s="11"/>
      <c r="AF21" s="11"/>
      <c r="AG21"/>
      <c r="AH21"/>
      <c r="AI21"/>
      <c r="AJ21"/>
    </row>
    <row r="22" spans="3:36" ht="38.25" customHeight="1">
      <c r="C22" s="10"/>
      <c r="D22" s="10"/>
      <c r="E22" s="10"/>
      <c r="F22" s="10"/>
      <c r="G22" s="6" t="s">
        <v>89</v>
      </c>
      <c r="H22" s="10"/>
      <c r="I22" s="10"/>
      <c r="J22" s="10"/>
      <c r="K22" s="10"/>
      <c r="L22" s="5"/>
      <c r="M22" s="5"/>
      <c r="N22"/>
      <c r="O22"/>
      <c r="P22"/>
      <c r="Q22"/>
      <c r="R22"/>
      <c r="S22"/>
      <c r="T22"/>
      <c r="U22"/>
      <c r="V22"/>
      <c r="W22"/>
      <c r="X22" s="11"/>
      <c r="Y22" s="11"/>
      <c r="Z22" s="11"/>
      <c r="AA22" s="11"/>
      <c r="AB22" s="11"/>
      <c r="AC22" s="11"/>
      <c r="AD22" s="11"/>
      <c r="AE22" s="11"/>
      <c r="AF22" s="11"/>
      <c r="AG22"/>
      <c r="AH22"/>
      <c r="AI22"/>
      <c r="AJ22"/>
    </row>
    <row r="23" spans="3:36" ht="38.25" customHeight="1">
      <c r="C23" s="10"/>
      <c r="D23" s="10"/>
      <c r="E23" s="10"/>
      <c r="F23" s="10"/>
      <c r="G23" s="6" t="s">
        <v>11</v>
      </c>
      <c r="H23" s="10"/>
      <c r="I23" s="10"/>
      <c r="J23" s="10"/>
      <c r="K23" s="10"/>
      <c r="L23" s="5"/>
      <c r="M23" s="5"/>
      <c r="N23"/>
      <c r="O23"/>
      <c r="P23"/>
      <c r="Q23"/>
      <c r="R23"/>
      <c r="S23"/>
      <c r="T23"/>
      <c r="U23"/>
      <c r="V23"/>
      <c r="W23"/>
      <c r="X23" s="11"/>
      <c r="Y23" s="11"/>
      <c r="Z23" s="11"/>
      <c r="AA23" s="11"/>
      <c r="AB23" s="11"/>
      <c r="AC23" s="11"/>
      <c r="AD23" s="11"/>
      <c r="AE23" s="11"/>
      <c r="AF23" s="11"/>
      <c r="AG23"/>
      <c r="AH23"/>
      <c r="AI23"/>
      <c r="AJ23"/>
    </row>
    <row r="24" spans="3:36" ht="28.5" customHeight="1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/>
      <c r="O24"/>
      <c r="P24"/>
      <c r="Q24"/>
      <c r="R24"/>
      <c r="S24"/>
      <c r="T24"/>
      <c r="U24"/>
      <c r="V24"/>
      <c r="W24"/>
      <c r="X24" s="5"/>
      <c r="Y24" s="5"/>
      <c r="Z24" s="5"/>
      <c r="AA24" s="5"/>
      <c r="AB24" s="5"/>
      <c r="AC24" s="5"/>
      <c r="AD24" s="5"/>
      <c r="AE24" s="5"/>
      <c r="AF24" s="5"/>
      <c r="AG24"/>
      <c r="AH24"/>
      <c r="AI24"/>
      <c r="AJ24"/>
    </row>
    <row r="25" spans="3:36" ht="28.5" customHeight="1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5"/>
      <c r="Y25" s="5"/>
      <c r="Z25" s="5"/>
      <c r="AA25" s="5"/>
      <c r="AB25" s="5"/>
      <c r="AC25" s="5"/>
      <c r="AD25" s="5"/>
      <c r="AE25" s="5"/>
      <c r="AF25" s="5"/>
      <c r="AG25"/>
      <c r="AH25"/>
      <c r="AI25"/>
      <c r="AJ25"/>
    </row>
    <row r="26" spans="3:36" ht="28.5" customHeight="1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</row>
    <row r="27" spans="3:36" ht="28.5" customHeight="1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</row>
    <row r="28" spans="3:36" ht="28.5" customHeight="1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spans="3:36" ht="28.5" customHeight="1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spans="3:36" ht="28.5" customHeight="1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spans="3:36" ht="28.5" customHeight="1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3:36" ht="28.5" customHeight="1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3:36" ht="28.5" customHeight="1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3:36" ht="28.5" customHeight="1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3:36" ht="28.5" customHeight="1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3:36" ht="28.5" customHeight="1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3:36" ht="28.5" customHeight="1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3:36" ht="28.5" customHeight="1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MapSetting">
          <controlPr defaultSize="0" autoLine="0" autoPict="0" r:id="rId5">
            <anchor moveWithCells="1">
              <from>
                <xdr:col>3</xdr:col>
                <xdr:colOff>238125</xdr:colOff>
                <xdr:row>0</xdr:row>
                <xdr:rowOff>142875</xdr:rowOff>
              </from>
              <to>
                <xdr:col>6</xdr:col>
                <xdr:colOff>66675</xdr:colOff>
                <xdr:row>1</xdr:row>
                <xdr:rowOff>219075</xdr:rowOff>
              </to>
            </anchor>
          </controlPr>
        </control>
      </mc:Choice>
      <mc:Fallback>
        <control shapeId="2051" r:id="rId4" name="MapSetting"/>
      </mc:Fallback>
    </mc:AlternateContent>
    <mc:AlternateContent xmlns:mc="http://schemas.openxmlformats.org/markup-compatibility/2006">
      <mc:Choice Requires="x14">
        <control shapeId="2049" r:id="rId6" name="Drop Down 1">
          <controlPr defaultSize="0" print="0" autoLine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9525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Drop Down 2">
          <controlPr defaultSize="0" autoLine="0" autoPict="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352425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BD1CA-6150-474E-AD94-DBA042E8DB06}">
  <sheetPr codeName="Sheet2"/>
  <dimension ref="A1:B12"/>
  <sheetViews>
    <sheetView workbookViewId="0">
      <selection activeCell="O32" sqref="O32"/>
    </sheetView>
  </sheetViews>
  <sheetFormatPr defaultRowHeight="16.5"/>
  <cols>
    <col min="1" max="1" width="11.625" bestFit="1" customWidth="1"/>
  </cols>
  <sheetData>
    <row r="1" spans="1:2">
      <c r="A1" t="s">
        <v>22</v>
      </c>
      <c r="B1" t="s">
        <v>21</v>
      </c>
    </row>
    <row r="2" spans="1:2">
      <c r="A2">
        <v>3</v>
      </c>
      <c r="B2">
        <v>2</v>
      </c>
    </row>
    <row r="3" spans="1:2">
      <c r="A3" t="s">
        <v>20</v>
      </c>
      <c r="B3" t="s">
        <v>19</v>
      </c>
    </row>
    <row r="4" spans="1:2">
      <c r="A4" t="s">
        <v>18</v>
      </c>
      <c r="B4" t="s">
        <v>17</v>
      </c>
    </row>
    <row r="5" spans="1:2">
      <c r="A5" t="s">
        <v>16</v>
      </c>
    </row>
    <row r="6" spans="1:2">
      <c r="A6" t="s">
        <v>32</v>
      </c>
    </row>
    <row r="7" spans="1:2">
      <c r="A7" t="s">
        <v>78</v>
      </c>
    </row>
    <row r="8" spans="1:2">
      <c r="A8" t="s">
        <v>69</v>
      </c>
    </row>
    <row r="9" spans="1:2">
      <c r="A9" t="s">
        <v>79</v>
      </c>
    </row>
    <row r="10" spans="1:2">
      <c r="A10" t="s">
        <v>80</v>
      </c>
    </row>
    <row r="11" spans="1:2">
      <c r="A11" t="s">
        <v>81</v>
      </c>
    </row>
    <row r="12" spans="1:2">
      <c r="A12" t="s">
        <v>82</v>
      </c>
    </row>
  </sheetData>
  <phoneticPr fontId="1" type="noConversion"/>
  <dataValidations count="2">
    <dataValidation type="list" allowBlank="1" showInputMessage="1" showErrorMessage="1" sqref="A8:A12" xr:uid="{A1E91013-CDBD-45FA-9476-2DDBCCC7781C}">
      <formula1>$A$7:$A$12</formula1>
    </dataValidation>
    <dataValidation type="list" allowBlank="1" showInputMessage="1" showErrorMessage="1" errorTitle="존재하지 않는 기믹" error="존재하지 않는 기믹입니다. " promptTitle="기믹 선택" prompt="맵 타일에 넣은 기믹을 선택하세요." sqref="A7" xr:uid="{3E8E0D65-0B4B-4BEE-AEF2-F693C9EA356E}">
      <formula1>$A$7:$A$12</formula1>
    </dataValidation>
  </dataValidations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플레이어 능력치</vt:lpstr>
      <vt:lpstr>몬스터 능력치</vt:lpstr>
      <vt:lpstr>맵 속성</vt:lpstr>
      <vt:lpstr>이동 윷 확률</vt:lpstr>
      <vt:lpstr>전투 윷확률</vt:lpstr>
      <vt:lpstr>타일</vt:lpstr>
      <vt:lpstr>MapEdit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KGIT58</dc:creator>
  <cp:lastModifiedBy>KGIT58</cp:lastModifiedBy>
  <dcterms:created xsi:type="dcterms:W3CDTF">2020-11-20T11:13:28Z</dcterms:created>
  <dcterms:modified xsi:type="dcterms:W3CDTF">2020-11-24T12:24:39Z</dcterms:modified>
</cp:coreProperties>
</file>